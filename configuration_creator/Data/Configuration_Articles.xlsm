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DE\CM\"/>
    </mc:Choice>
  </mc:AlternateContent>
  <xr:revisionPtr revIDLastSave="0" documentId="13_ncr:1_{1D9CEFAD-B065-4D1A-B4CA-08BC3592BFE4}" xr6:coauthVersionLast="47" xr6:coauthVersionMax="47" xr10:uidLastSave="{00000000-0000-0000-0000-000000000000}"/>
  <bookViews>
    <workbookView xWindow="-120" yWindow="-120" windowWidth="38640" windowHeight="21120" xr2:uid="{F7A6B1F3-419A-4228-88BF-E21CE2B447A0}"/>
  </bookViews>
  <sheets>
    <sheet name="OBU-5310" sheetId="1" r:id="rId1"/>
  </sheets>
  <functionGroups builtInGroupCount="19"/>
  <definedNames>
    <definedName name="_01_OBU_Configuration">'OBU-5310'!$F:$AD</definedName>
    <definedName name="_02_Documents">'OBU-5310'!$AE:$AO</definedName>
    <definedName name="_03_Responsibles">'OBU-5310'!$AP:$AS</definedName>
    <definedName name="_04_Cellular_Parameters">'OBU-5310'!$AT:$AY</definedName>
    <definedName name="_xlnm._FilterDatabase" localSheetId="0" hidden="1">'OBU-5310'!$A$1:$AO$9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" i="1" l="1"/>
  <c r="S10" i="1"/>
  <c r="T10" i="1" s="1"/>
  <c r="S9" i="1"/>
  <c r="T9" i="1" s="1"/>
  <c r="S8" i="1"/>
  <c r="T8" i="1" s="1"/>
  <c r="S7" i="1"/>
  <c r="T7" i="1" s="1"/>
  <c r="S6" i="1"/>
  <c r="S5" i="1"/>
  <c r="S4" i="1"/>
  <c r="S3" i="1"/>
  <c r="T11" i="1"/>
  <c r="S2" i="1"/>
  <c r="M3" i="1"/>
  <c r="M4" i="1"/>
  <c r="M5" i="1"/>
  <c r="M6" i="1"/>
  <c r="M7" i="1"/>
  <c r="M8" i="1"/>
  <c r="M9" i="1"/>
  <c r="M10" i="1"/>
  <c r="M11" i="1"/>
  <c r="M2" i="1"/>
  <c r="AD11" i="1"/>
  <c r="AD10" i="1"/>
  <c r="AD9" i="1"/>
  <c r="AD8" i="1"/>
  <c r="AD7" i="1"/>
  <c r="AD6" i="1"/>
  <c r="AD5" i="1"/>
  <c r="AD4" i="1"/>
  <c r="AD3" i="1"/>
  <c r="AD2" i="1"/>
  <c r="AA3" i="1"/>
  <c r="AA4" i="1"/>
  <c r="AA5" i="1"/>
  <c r="AA6" i="1"/>
  <c r="AA7" i="1"/>
  <c r="AA8" i="1"/>
  <c r="AA9" i="1"/>
  <c r="AA10" i="1"/>
  <c r="AA11" i="1"/>
  <c r="AA2" i="1"/>
  <c r="X11" i="1"/>
  <c r="X10" i="1"/>
  <c r="X9" i="1"/>
  <c r="X8" i="1"/>
  <c r="X7" i="1"/>
  <c r="X6" i="1"/>
  <c r="X5" i="1"/>
  <c r="X4" i="1"/>
  <c r="X3" i="1"/>
  <c r="X2" i="1"/>
  <c r="T6" i="1"/>
  <c r="T5" i="1"/>
  <c r="T4" i="1"/>
  <c r="T3" i="1"/>
  <c r="T2" i="1"/>
  <c r="Q3" i="1"/>
  <c r="Q4" i="1"/>
  <c r="Q5" i="1"/>
  <c r="Q6" i="1"/>
  <c r="Q7" i="1"/>
  <c r="Q8" i="1"/>
  <c r="Q9" i="1"/>
  <c r="Q10" i="1"/>
  <c r="Q11" i="1"/>
  <c r="Q2" i="1"/>
  <c r="N3" i="1"/>
  <c r="N4" i="1"/>
  <c r="N5" i="1"/>
  <c r="N6" i="1"/>
  <c r="N7" i="1"/>
  <c r="N8" i="1"/>
  <c r="N9" i="1"/>
  <c r="N10" i="1"/>
  <c r="N11" i="1"/>
  <c r="N2" i="1"/>
  <c r="F3" i="1"/>
  <c r="F4" i="1"/>
  <c r="F5" i="1"/>
  <c r="F6" i="1"/>
  <c r="F7" i="1"/>
  <c r="F8" i="1"/>
  <c r="F9" i="1"/>
  <c r="F10" i="1"/>
  <c r="F11" i="1"/>
  <c r="F2" i="1"/>
  <c r="I10" i="1" a="1"/>
  <c r="I9" i="1" a="1"/>
  <c r="I8" i="1" a="1"/>
  <c r="I3" i="1" a="1"/>
  <c r="I7" i="1" a="1"/>
  <c r="I4" i="1" a="1"/>
  <c r="I11" i="1" a="1"/>
  <c r="I6" i="1" a="1"/>
  <c r="I2" i="1" a="1"/>
  <c r="I5" i="1" a="1"/>
  <c r="I8" i="1" l="1"/>
  <c r="I9" i="1"/>
  <c r="I10" i="1"/>
  <c r="I5" i="1"/>
  <c r="I11" i="1"/>
  <c r="I6" i="1"/>
  <c r="I4" i="1"/>
  <c r="I3" i="1"/>
  <c r="I7" i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Lajtai Levente</author>
  </authors>
  <commentList>
    <comment ref="B1" authorId="0" shapeId="0" xr:uid="{D11E23B4-F91B-4E1B-87F0-E691FC8CCB20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CC: Country Code</t>
        </r>
      </text>
    </comment>
    <comment ref="J1" authorId="0" shapeId="0" xr:uid="{B0ABB442-A596-471C-AD54-BBE28F15A121}">
      <text>
        <r>
          <rPr>
            <b/>
            <sz val="9"/>
            <color indexed="81"/>
            <rFont val="Tahoma"/>
            <family val="2"/>
          </rPr>
          <t>Lajtai Levente:
OBU Style                  Cover Windscreen      Cover Cabin</t>
        </r>
        <r>
          <rPr>
            <sz val="9"/>
            <color indexed="81"/>
            <rFont val="Tahoma"/>
            <family val="2"/>
          </rPr>
          <t xml:space="preserve">
No. 1: White/Black     NCS S 0603-R80B A      NCS S 9000 B
No. 2: White/Grey     NCS S 0603-R80B A      NCS S 2005-R90B C
No. 3: White/White    NCS S 0603-R80B A      NCS S 0603-R80B A
No.4:  Grey/Blue       NCS S 2005-R90B C      RAL 5002 D
No. 5: White/Orange  NCS S 0603-R80B A      RAL 2000 E</t>
        </r>
      </text>
    </comment>
    <comment ref="AE1" authorId="0" shapeId="0" xr:uid="{EBB029E1-8E29-488D-B0DB-DA3A46BD6558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OS: OBU Specification</t>
        </r>
      </text>
    </comment>
    <comment ref="AJ1" authorId="0" shapeId="0" xr:uid="{9D31CCAB-3893-444B-9FA4-7BD29D79538A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PCR: Product Change Request</t>
        </r>
      </text>
    </comment>
    <comment ref="AL1" authorId="0" shapeId="0" xr:uid="{9092E76E-9EFC-4886-8D75-128B56473E4F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PI: Production Instruction</t>
        </r>
      </text>
    </comment>
    <comment ref="AN1" authorId="0" shapeId="0" xr:uid="{77EAF2D5-7BF9-4AC9-B9A7-C3E5787A24FA}">
      <text>
        <r>
          <rPr>
            <b/>
            <sz val="9"/>
            <color indexed="81"/>
            <rFont val="Tahoma"/>
            <family val="2"/>
          </rPr>
          <t>Lajtai Levente:</t>
        </r>
        <r>
          <rPr>
            <sz val="9"/>
            <color indexed="81"/>
            <rFont val="Tahoma"/>
            <family val="2"/>
          </rPr>
          <t xml:space="preserve">
TR: Test Report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<sst xmlns="http://schemas.openxmlformats.org/spreadsheetml/2006/main" count="421" uniqueCount="258">
  <si>
    <t>DK</t>
  </si>
  <si>
    <t>CH</t>
  </si>
  <si>
    <t>SE</t>
  </si>
  <si>
    <t>Brobizz</t>
  </si>
  <si>
    <t>LSVA</t>
  </si>
  <si>
    <t>009209</t>
  </si>
  <si>
    <t>009240</t>
  </si>
  <si>
    <t>009218</t>
  </si>
  <si>
    <t>45D100652900</t>
  </si>
  <si>
    <t>45D000708000</t>
  </si>
  <si>
    <t>45D100540900</t>
  </si>
  <si>
    <t>Client</t>
  </si>
  <si>
    <t>45D100651800</t>
  </si>
  <si>
    <t>45D100649500</t>
  </si>
  <si>
    <t>45D100650700</t>
  </si>
  <si>
    <t>CC</t>
  </si>
  <si>
    <t>tolltickets</t>
  </si>
  <si>
    <t>DE</t>
  </si>
  <si>
    <t>45D100374800</t>
  </si>
  <si>
    <t>01</t>
  </si>
  <si>
    <t>009130</t>
  </si>
  <si>
    <t>3</t>
  </si>
  <si>
    <t>45D000707000</t>
  </si>
  <si>
    <t>45D100541500</t>
  </si>
  <si>
    <t>45D100542700</t>
  </si>
  <si>
    <t>45D100537800</t>
  </si>
  <si>
    <t>45D100538500</t>
  </si>
  <si>
    <t>45D100539700</t>
  </si>
  <si>
    <t>45D100618500</t>
  </si>
  <si>
    <t>45D100375900</t>
  </si>
  <si>
    <t>45D100621700</t>
  </si>
  <si>
    <t>OBU
ArtNum1</t>
  </si>
  <si>
    <t>OBU
ArtNum2</t>
  </si>
  <si>
    <t>OBU
Revision</t>
  </si>
  <si>
    <t>OBU
Style</t>
  </si>
  <si>
    <t>PCR
Revision</t>
  </si>
  <si>
    <t>PI
Revision</t>
  </si>
  <si>
    <t>TR
Revision</t>
  </si>
  <si>
    <t>Author</t>
  </si>
  <si>
    <t>DOC
Reviewer1</t>
  </si>
  <si>
    <t>DOC
Reviewer2</t>
  </si>
  <si>
    <t>OS
Version</t>
  </si>
  <si>
    <t>2.0</t>
  </si>
  <si>
    <t>Levente Lajtai</t>
  </si>
  <si>
    <t>Robert Scharinger</t>
  </si>
  <si>
    <t>PCR
ArtNum</t>
  </si>
  <si>
    <t>PI
ArtNum</t>
  </si>
  <si>
    <t>OS
ArtNum</t>
  </si>
  <si>
    <t>TR
ArtNum</t>
  </si>
  <si>
    <t>Release</t>
  </si>
  <si>
    <t>OBU
ArtNum3</t>
  </si>
  <si>
    <t>Paul Litzinger</t>
  </si>
  <si>
    <t>LWM2M
Server
Param 0010</t>
  </si>
  <si>
    <t>Cellular
Name
Param 1000</t>
  </si>
  <si>
    <t>Cellular
APN
Param 1001</t>
  </si>
  <si>
    <t>Cellular
Auth Type
Param 1004</t>
  </si>
  <si>
    <t>Cellular
Primary DNS
Param 1019</t>
  </si>
  <si>
    <t>Cellular
Secondary DNS
Param 1020</t>
  </si>
  <si>
    <t>coaps://acc.tt.obu.tollingservices.net:5694 (Acceptance) 
coaps://prd.tt.obu.tollingservices.net:5694 (Production)</t>
  </si>
  <si>
    <t>Orange</t>
  </si>
  <si>
    <t>axm2m.vp</t>
  </si>
  <si>
    <t>1</t>
  </si>
  <si>
    <t>10.188.31.11</t>
  </si>
  <si>
    <t>10.188.31.12</t>
  </si>
  <si>
    <t>MARKETING</t>
  </si>
  <si>
    <t>009170</t>
  </si>
  <si>
    <t>C</t>
  </si>
  <si>
    <t>45D100481800</t>
  </si>
  <si>
    <t>02</t>
  </si>
  <si>
    <t>45D100620500</t>
  </si>
  <si>
    <t>45D100480900</t>
  </si>
  <si>
    <t>45D100623700</t>
  </si>
  <si>
    <t>ktcat.vp</t>
  </si>
  <si>
    <t>Orange AT</t>
  </si>
  <si>
    <t>coaps://acc.op.obu.tollingservices.net:5694 (Acceptance) 
coaps://prd.op.obu.tollingservices.net:5694 (Production)</t>
  </si>
  <si>
    <t>coaps://acc.bb.obu.tollingservices.net:5694 (Acceptance) 
coaps://prd.bb.obu.tollingservices.net:5694 (Production)</t>
  </si>
  <si>
    <t>Helen Hansen</t>
  </si>
  <si>
    <t>Walter Pachlinger</t>
  </si>
  <si>
    <t>OS
Status</t>
  </si>
  <si>
    <t>OS
Release
Date</t>
  </si>
  <si>
    <t>Released</t>
  </si>
  <si>
    <t>OresundPAY</t>
  </si>
  <si>
    <t>Rudolf Lukaschek</t>
  </si>
  <si>
    <t>2024-06-14</t>
  </si>
  <si>
    <t>natras.m2m.ch</t>
  </si>
  <si>
    <t>coaps://10.200.16.16:5694</t>
  </si>
  <si>
    <t>Swisscom</t>
  </si>
  <si>
    <t>8.8.8.8</t>
  </si>
  <si>
    <t>9.9.9.9</t>
  </si>
  <si>
    <t>3.0</t>
  </si>
  <si>
    <t>2024-07-19</t>
  </si>
  <si>
    <t>10.200.0.2</t>
  </si>
  <si>
    <t>10.200.0.3</t>
  </si>
  <si>
    <t>Charon</t>
  </si>
  <si>
    <t>01.08.00</t>
  </si>
  <si>
    <t>01.07.01</t>
  </si>
  <si>
    <t>L</t>
  </si>
  <si>
    <t>J</t>
  </si>
  <si>
    <t>Charon
Revision</t>
  </si>
  <si>
    <t>coaps://prd-axman-lb.infra.natras.ch:5694 (Production)</t>
  </si>
  <si>
    <t>OS
Revision</t>
  </si>
  <si>
    <t>SIM</t>
  </si>
  <si>
    <t>CONF</t>
  </si>
  <si>
    <t>PARAMS</t>
  </si>
  <si>
    <t>PERS</t>
  </si>
  <si>
    <t>GEOFENCE</t>
  </si>
  <si>
    <t>PHRASES</t>
  </si>
  <si>
    <t>SAM</t>
  </si>
  <si>
    <t>PERS Generic</t>
  </si>
  <si>
    <t>605135A</t>
  </si>
  <si>
    <t>403100699000-00</t>
  </si>
  <si>
    <t>403100672000-00</t>
  </si>
  <si>
    <t>6853511536A</t>
  </si>
  <si>
    <t>01.08.03</t>
  </si>
  <si>
    <t>N</t>
  </si>
  <si>
    <t>03</t>
  </si>
  <si>
    <t>OresundPAY/DKV-refurb</t>
  </si>
  <si>
    <t>009261</t>
  </si>
  <si>
    <t>A</t>
  </si>
  <si>
    <t>45D100652800</t>
  </si>
  <si>
    <t>1.0</t>
  </si>
  <si>
    <t>00</t>
  </si>
  <si>
    <t>2025-01-17</t>
  </si>
  <si>
    <t>45D100700500</t>
  </si>
  <si>
    <t>45D100653900</t>
  </si>
  <si>
    <t>Martin Hon</t>
  </si>
  <si>
    <t>DigiToll</t>
  </si>
  <si>
    <t>DigiToll Test</t>
  </si>
  <si>
    <t>ITS</t>
  </si>
  <si>
    <t>ITS Test</t>
  </si>
  <si>
    <t>BG</t>
  </si>
  <si>
    <t>01.08.02</t>
  </si>
  <si>
    <t>AA</t>
  </si>
  <si>
    <t>009158</t>
  </si>
  <si>
    <t>009263</t>
  </si>
  <si>
    <t>007920</t>
  </si>
  <si>
    <t>009262</t>
  </si>
  <si>
    <t>6853515328A</t>
  </si>
  <si>
    <t>603843A</t>
  </si>
  <si>
    <t>6853515457A</t>
  </si>
  <si>
    <t>45D100600800</t>
  </si>
  <si>
    <t>45D100604800</t>
  </si>
  <si>
    <t>45D100722500</t>
  </si>
  <si>
    <t>45D100601900</t>
  </si>
  <si>
    <t>45D100721500</t>
  </si>
  <si>
    <t>45D100597900</t>
  </si>
  <si>
    <t>Telenor BG</t>
  </si>
  <si>
    <t>digitoll.telenor.bg</t>
  </si>
  <si>
    <t>coaps://stgobus.concord.bg2.tollingservices.eu:5694</t>
  </si>
  <si>
    <t>213.227.179.137</t>
  </si>
  <si>
    <t>213.227.179.138</t>
  </si>
  <si>
    <t>A1 BG</t>
  </si>
  <si>
    <t>its21.a1.bg</t>
  </si>
  <si>
    <t>213.227.179.41</t>
  </si>
  <si>
    <t>213.227.179.42</t>
  </si>
  <si>
    <t>coaps://obus.concord.bg2.tollingservices.eu:5694</t>
  </si>
  <si>
    <t>coaps://obus.its.bg.tollingservices.eu:5694</t>
  </si>
  <si>
    <t>45D100447800</t>
  </si>
  <si>
    <t>8633804481</t>
  </si>
  <si>
    <t>8633902507</t>
  </si>
  <si>
    <t>45D100487500</t>
  </si>
  <si>
    <t>45D100486500</t>
  </si>
  <si>
    <t>45D100448900</t>
  </si>
  <si>
    <t>B</t>
  </si>
  <si>
    <t>E</t>
  </si>
  <si>
    <t>coaps://stgobus.its.bg.tollingservices.eu:5694</t>
  </si>
  <si>
    <t>I</t>
  </si>
  <si>
    <t>12.0</t>
  </si>
  <si>
    <t>12</t>
  </si>
  <si>
    <t>04</t>
  </si>
  <si>
    <t>07</t>
  </si>
  <si>
    <t>CONF_REV</t>
  </si>
  <si>
    <t>PARAMS_REV</t>
  </si>
  <si>
    <t>PERS_REV</t>
  </si>
  <si>
    <t>GEO_REV</t>
  </si>
  <si>
    <t>PHRASES_REV</t>
  </si>
  <si>
    <t>CONF_NUM</t>
  </si>
  <si>
    <t>605253</t>
  </si>
  <si>
    <t>605198</t>
  </si>
  <si>
    <t>605314</t>
  </si>
  <si>
    <t>603834</t>
  </si>
  <si>
    <t>605311</t>
  </si>
  <si>
    <t>605293</t>
  </si>
  <si>
    <t>605208</t>
  </si>
  <si>
    <t>605263</t>
  </si>
  <si>
    <t>605306</t>
  </si>
  <si>
    <t>605174</t>
  </si>
  <si>
    <t>PARAMS_NUM</t>
  </si>
  <si>
    <t>605254</t>
  </si>
  <si>
    <t>605200</t>
  </si>
  <si>
    <t>605316</t>
  </si>
  <si>
    <t>605210</t>
  </si>
  <si>
    <t>605313</t>
  </si>
  <si>
    <t>605294</t>
  </si>
  <si>
    <t>605115</t>
  </si>
  <si>
    <t>605264</t>
  </si>
  <si>
    <t>605307</t>
  </si>
  <si>
    <t>605175</t>
  </si>
  <si>
    <t>PERS_NUM</t>
  </si>
  <si>
    <t>605255</t>
  </si>
  <si>
    <t>605199</t>
  </si>
  <si>
    <t>605315</t>
  </si>
  <si>
    <t>603842</t>
  </si>
  <si>
    <t>605312</t>
  </si>
  <si>
    <t>605295</t>
  </si>
  <si>
    <t>605209</t>
  </si>
  <si>
    <t>605265</t>
  </si>
  <si>
    <t>605308</t>
  </si>
  <si>
    <t>605176</t>
  </si>
  <si>
    <t>BLACK: Need to be provided once. (at the beginning of the project)</t>
  </si>
  <si>
    <t>RED: Need to be updated continuously. (from revision to revision)</t>
  </si>
  <si>
    <t>GEO_NUM</t>
  </si>
  <si>
    <t>605256</t>
  </si>
  <si>
    <t>603807</t>
  </si>
  <si>
    <t>605296</t>
  </si>
  <si>
    <t>605114</t>
  </si>
  <si>
    <t>605266</t>
  </si>
  <si>
    <t>605309</t>
  </si>
  <si>
    <t>605177</t>
  </si>
  <si>
    <t>D</t>
  </si>
  <si>
    <t>PHRASES_NUM</t>
  </si>
  <si>
    <t>605257</t>
  </si>
  <si>
    <t>605207</t>
  </si>
  <si>
    <t>603970</t>
  </si>
  <si>
    <t>605297</t>
  </si>
  <si>
    <t>605056</t>
  </si>
  <si>
    <t>605267</t>
  </si>
  <si>
    <t>605310</t>
  </si>
  <si>
    <t>605173</t>
  </si>
  <si>
    <t>F</t>
  </si>
  <si>
    <t>SAM_NUM</t>
  </si>
  <si>
    <t>SAM_REV</t>
  </si>
  <si>
    <t>009236</t>
  </si>
  <si>
    <t>008216</t>
  </si>
  <si>
    <t>007995</t>
  </si>
  <si>
    <t>008173</t>
  </si>
  <si>
    <t>009143</t>
  </si>
  <si>
    <t>009090</t>
  </si>
  <si>
    <t>009238</t>
  </si>
  <si>
    <t>Path</t>
  </si>
  <si>
    <t>c:\GDE\Configurations\Brobizz\</t>
  </si>
  <si>
    <t>c:\GDE\Configurations\DigiToll\</t>
  </si>
  <si>
    <t>c:\GDE\Configurations\DigiToll_Test\</t>
  </si>
  <si>
    <t>c:\GDE\Configurations\ITS\</t>
  </si>
  <si>
    <t>c:\GDE\Configurations\ITS_Test\</t>
  </si>
  <si>
    <t>c:\GDE\Configurations\LSVA\</t>
  </si>
  <si>
    <t>c:\GDE\Configurations\MARKETING\</t>
  </si>
  <si>
    <t>c:\GDE\Configurations\OresundPAY\</t>
  </si>
  <si>
    <t>c:\GDE\Configurations\OresundPAY-DKV-refurb\</t>
  </si>
  <si>
    <t>c:\GDE\Configurations\tolltickets\</t>
  </si>
  <si>
    <t>01.08.08</t>
  </si>
  <si>
    <t>02.02.01</t>
  </si>
  <si>
    <t>T</t>
  </si>
  <si>
    <t>AF</t>
  </si>
  <si>
    <t>S</t>
  </si>
  <si>
    <t>4.0</t>
  </si>
  <si>
    <t>2025-06-20</t>
  </si>
  <si>
    <t>2025-07-11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</si>
</sst>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charset val="238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color theme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49" fontId="4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wrapText="1"/>
    </xf>
    <xf numFmtId="0" fontId="0" fillId="0" borderId="0" xfId="0" applyNumberFormat="1"/>
    <xf numFmtId="49" fontId="4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 vertical="center" wrapText="1"/>
    </xf>
    <xf numFmtId="0" fontId="12" fillId="0" borderId="5" xfId="0" applyNumberFormat="1" applyFont="1" applyBorder="1" applyAlignment="1">
      <alignment horizontal="center" vertical="center" wrapText="1"/>
    </xf>
    <xf numFmtId="0" fontId="13" fillId="0" borderId="5" xfId="0" applyNumberFormat="1" applyFont="1" applyBorder="1" applyAlignment="1">
      <alignment horizontal="center"/>
    </xf>
    <xf numFmtId="0" fontId="1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/>
    </xf>
    <xf numFmtId="0" fontId="4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/>
    </xf>
    <xf numFmtId="0" fontId="13" fillId="0" borderId="1" xfId="0" applyNumberFormat="1" applyFont="1" applyBorder="1" applyAlignment="1">
      <alignment horizontal="center"/>
    </xf>
    <xf numFmtId="0" fontId="0" fillId="0" borderId="0" xfId="0" applyNumberFormat="1" applyBorder="1"/>
    <xf numFmtId="0" fontId="13" fillId="0" borderId="0" xfId="0" quotePrefix="1" applyNumberFormat="1" applyFont="1" applyBorder="1" applyAlignment="1">
      <alignment wrapText="1"/>
    </xf>
    <xf numFmtId="0" fontId="7" fillId="0" borderId="0" xfId="0" applyNumberFormat="1" applyFont="1" applyBorder="1" applyAlignment="1">
      <alignment horizontal="center" vertical="center" wrapText="1"/>
    </xf>
    <xf numFmtId="0" fontId="7" fillId="0" borderId="0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0" fontId="7" fillId="0" borderId="6" xfId="0" applyNumberFormat="1" applyFont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4" fillId="0" borderId="7" xfId="0" applyNumberFormat="1" applyFont="1" applyBorder="1" applyAlignment="1">
      <alignment horizontal="center" vertical="center" wrapText="1"/>
    </xf>
    <xf numFmtId="0" fontId="13" fillId="0" borderId="7" xfId="0" applyNumberFormat="1" applyFont="1" applyBorder="1" applyAlignment="1">
      <alignment horizontal="center"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0" fontId="4" fillId="0" borderId="6" xfId="0" applyNumberFormat="1" applyFont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7" fillId="0" borderId="1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0" applyNumberFormat="1" applyFont="1" applyAlignment="1">
      <alignment horizontal="center" vertical="center"/>
    </xf>
    <xf numFmtId="0" fontId="9" fillId="0" borderId="4" xfId="0" applyNumberFormat="1" applyFont="1" applyBorder="1"/>
    <xf numFmtId="0" fontId="9" fillId="0" borderId="3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7" fillId="0" borderId="6" xfId="0" applyNumberFormat="1" applyFont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4" fillId="0" borderId="7" xfId="0" applyNumberFormat="1" applyFont="1" applyBorder="1" applyAlignment="1">
      <alignment horizontal="center"/>
    </xf>
    <xf numFmtId="0" fontId="13" fillId="0" borderId="7" xfId="0" applyNumberFormat="1" applyFont="1" applyBorder="1"/>
    <xf numFmtId="0" fontId="13" fillId="0" borderId="7" xfId="0" applyNumberFormat="1" applyFont="1" applyBorder="1" applyAlignment="1">
      <alignment horizontal="center"/>
    </xf>
    <xf numFmtId="0" fontId="3" fillId="0" borderId="6" xfId="0" applyNumberFormat="1" applyFont="1" applyBorder="1"/>
    <xf numFmtId="0" fontId="0" fillId="0" borderId="1" xfId="0" applyNumberFormat="1" applyBorder="1"/>
    <xf numFmtId="0" fontId="6" fillId="0" borderId="0" xfId="0" applyNumberFormat="1" applyFont="1"/>
    <xf numFmtId="0" fontId="0" fillId="0" borderId="4" xfId="0" applyNumberFormat="1" applyBorder="1"/>
    <xf numFmtId="0" fontId="0" fillId="0" borderId="3" xfId="0" applyNumberFormat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0" fontId="10" fillId="0" borderId="2" xfId="0" applyNumberFormat="1" applyFont="1" applyBorder="1" applyAlignment="1">
      <alignment horizontal="center"/>
    </xf>
    <xf numFmtId="0" fontId="9" fillId="0" borderId="4" xfId="0" applyNumberFormat="1" applyFont="1" applyBorder="1" applyAlignment="1"/>
    <xf numFmtId="0" fontId="7" fillId="0" borderId="4" xfId="0" applyNumberFormat="1" applyFont="1" applyBorder="1" applyAlignment="1"/>
    <xf numFmtId="0" fontId="4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7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 vertical="center" wrapText="1"/>
    </xf>
    <xf numFmtId="0" fontId="4" fillId="0" borderId="5" xfId="0" applyNumberFormat="1" applyFont="1" applyBorder="1" applyAlignment="1">
      <alignment horizontal="center"/>
    </xf>
    <xf numFmtId="0" fontId="9" fillId="0" borderId="5" xfId="0" applyNumberFormat="1" applyFont="1" applyBorder="1" applyAlignment="1">
      <alignment horizontal="center"/>
    </xf>
    <xf numFmtId="0" fontId="4" fillId="0" borderId="2" xfId="0" applyNumberFormat="1" applyFont="1" applyFill="1" applyBorder="1" applyAlignment="1">
      <alignment horizontal="center" vertical="center" wrapText="1"/>
    </xf>
    <xf numFmtId="0" fontId="9" fillId="0" borderId="2" xfId="0" applyNumberFormat="1" applyFont="1" applyBorder="1" applyAlignment="1">
      <alignment horizontal="center"/>
    </xf>
    <xf numFmtId="0" fontId="4" fillId="0" borderId="5" xfId="0" applyNumberFormat="1" applyFont="1" applyBorder="1" applyAlignment="1">
      <alignment horizontal="center" vertical="center"/>
    </xf>
    <xf numFmtId="0" fontId="0" fillId="0" borderId="5" xfId="0" applyNumberFormat="1" applyBorder="1"/>
    <xf numFmtId="0" fontId="0" fillId="0" borderId="5" xfId="0" applyNumberFormat="1" applyBorder="1" applyAlignment="1"/>
    <xf numFmtId="0" fontId="9" fillId="0" borderId="0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wrapText="1"/>
    </xf>
    <xf numFmtId="0" fontId="4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49" fontId="7" fillId="0" borderId="0" xfId="0" applyNumberFormat="1" applyFont="1" applyFill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/>
    </xf>
    <xf numFmtId="49" fontId="7" fillId="0" borderId="1" xfId="0" applyNumberFormat="1" applyFont="1" applyFill="1" applyBorder="1" applyAlignment="1">
      <alignment horizontal="center" vertical="center" wrapText="1"/>
    </xf>
    <xf numFmtId="49" fontId="7" fillId="0" borderId="1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54">
    <dxf>
      <numFmt numFmtId="0" formatCode="General"/>
      <border diagonalUp="0" diagonalDown="0">
        <left/>
        <right style="double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font>
        <b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double">
          <color auto="1"/>
        </right>
        <top/>
        <bottom/>
      </border>
    </dxf>
    <dxf>
      <font>
        <b/>
      </font>
      <numFmt numFmtId="0" formatCode="General"/>
      <alignment horizontal="center" textRotation="0" indent="0" justifyLastLine="0" shrinkToFit="0" readingOrder="0"/>
    </dxf>
    <dxf>
      <font>
        <b/>
      </font>
      <numFmt numFmtId="0" formatCode="General"/>
      <alignment horizontal="center" textRotation="0" indent="0" justifyLastLine="0" shrinkToFit="0" readingOrder="0"/>
    </dxf>
    <dxf>
      <font>
        <b/>
      </font>
      <numFmt numFmtId="0" formatCode="General"/>
      <alignment horizontal="center" textRotation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 outline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>
        <right style="double">
          <color auto="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border diagonalUp="0" diagonalDown="0">
        <left style="double">
          <color auto="1"/>
        </left>
        <right style="double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double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 style="thick">
          <color auto="1"/>
        </left>
        <right/>
        <top/>
        <bottom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  <numFmt numFmtId="0" formatCode="General"/>
      <alignment horizontal="center" textRotation="0" wrapText="0" indent="0" justifyLastLine="0" shrinkToFit="0" readingOrder="0"/>
      <border diagonalUp="0" diagonalDown="0" outline="0">
        <left style="dotted">
          <color auto="1"/>
        </left>
        <right/>
        <top/>
        <bottom/>
      </border>
    </dxf>
    <dxf>
      <font>
        <b/>
      </font>
      <numFmt numFmtId="0" formatCode="General"/>
      <border diagonalUp="0" diagonalDown="0">
        <left/>
        <right style="dotted">
          <color auto="1"/>
        </right>
        <top/>
        <bottom/>
        <vertical/>
        <horizontal/>
      </border>
    </dxf>
    <dxf>
      <border outline="0">
        <right style="double">
          <color auto="1"/>
        </right>
        <top style="double">
          <color auto="1"/>
        </top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2D5D5C-CB28-44F9-8B92-C994C0761157}" name="_00_Configuration_Articles" displayName="_00_Configuration_Articles" ref="A1:AY11" totalsRowShown="0" headerRowDxfId="53" dataDxfId="52" tableBorderDxfId="51">
  <autoFilter ref="A1:AY11" xr:uid="{692D5D5C-CB28-44F9-8B92-C994C0761157}"/>
  <tableColumns count="51">
    <tableColumn id="1" xr3:uid="{2551CE18-DCBD-4AD1-AA41-1287C232AFFF}" name="Client" dataDxfId="50"/>
    <tableColumn id="2" xr3:uid="{C6735B69-8AA6-44E6-BDD5-C56C2D31ED8F}" name="CC" dataDxfId="49"/>
    <tableColumn id="6" xr3:uid="{055FFCD7-F3B9-4B8F-B480-BFDCE34199D7}" name="Path" dataDxfId="48"/>
    <tableColumn id="34" xr3:uid="{17D49E52-5316-404A-8032-CA49FC7DC89D}" name="Charon" dataDxfId="47"/>
    <tableColumn id="33" xr3:uid="{2D12A11A-44BD-4694-82DF-50773E8C79E9}" name="Charon_x000a_Revision" dataDxfId="46"/>
    <tableColumn id="4" xr3:uid="{2CB52E7E-166E-472E-A3F0-2520577D5FA8}" name="OBU_x000a_ArtNum1" dataDxfId="45">
      <calculatedColumnFormula>LEFT(_00_Configuration_Articles[[#This Row],[OBU
ArtNum2]], 3) &amp; "-" &amp; RIGHT(_00_Configuration_Articles[[#This Row],[OBU
ArtNum2]], 3)</calculatedColumnFormula>
    </tableColumn>
    <tableColumn id="5" xr3:uid="{1702E60E-B74A-4288-A29F-CAF279627146}" name="OBU_x000a_ArtNum2" dataDxfId="44"/>
    <tableColumn id="51" xr3:uid="{25FF3BB0-8D7C-4725-9285-155A988D0106}" name="OBU_x000a_Revision" dataDxfId="43"/>
    <tableColumn id="21" xr3:uid="{A6BCC168-35E1-4DD4-AC2B-BB48CB6AD108}" name="OBU_x000a_ArtNum3" dataDxfId="42">
      <calculatedColumnFormula array="1">StrToHex(_00_Configuration_Articles[[#This Row],[OBU
ArtNum2]]) &amp; " " &amp; StrToHex(_00_Configuration_Articles[[#This Row],[OBU
Revision]])</calculatedColumnFormula>
    </tableColumn>
    <tableColumn id="7" xr3:uid="{AC39AB02-0A03-40E8-BD1F-8742F4BDE8A3}" name="OBU_x000a_Style" dataDxfId="41"/>
    <tableColumn id="38" xr3:uid="{A15160A7-9D3D-4056-AB23-758948F8FCB6}" name="SIM" dataDxfId="40"/>
    <tableColumn id="46" xr3:uid="{B6634A31-5855-475E-B727-80783F961D80}" name="CONF_NUM" dataDxfId="39"/>
    <tableColumn id="45" xr3:uid="{E0F840EC-F9A5-404E-8A22-7C5D2045B01A}" name="CONF_REV" dataDxfId="38">
      <calculatedColumnFormula>_00_Configuration_Articles[[#This Row],[OBU
Revision]]</calculatedColumnFormula>
    </tableColumn>
    <tableColumn id="37" xr3:uid="{06C4C67A-9F5A-4DF9-8923-73C0F3EEF293}" name="CONF" dataDxfId="37">
      <calculatedColumnFormula>_00_Configuration_Articles[[#This Row],[CONF_NUM]] &amp; _00_Configuration_Articles[[#This Row],[CONF_REV]]</calculatedColumnFormula>
    </tableColumn>
    <tableColumn id="48" xr3:uid="{E4780F61-9FBB-4CA7-96E8-3215EFCFC5F1}" name="PARAMS_NUM" dataDxfId="36"/>
    <tableColumn id="47" xr3:uid="{13FF8402-F54D-4661-B22B-80458AB1284A}" name="PARAMS_REV" dataDxfId="35"/>
    <tableColumn id="36" xr3:uid="{716F81CD-E6EB-4AA1-AC0A-FAE1B16797B4}" name="PARAMS" dataDxfId="34">
      <calculatedColumnFormula>_00_Configuration_Articles[[#This Row],[PARAMS_NUM]] &amp; _00_Configuration_Articles[[#This Row],[PARAMS_REV]]</calculatedColumnFormula>
    </tableColumn>
    <tableColumn id="49" xr3:uid="{B51E8DC6-7BAC-411D-8263-B8CABD2B4630}" name="PERS_NUM" dataDxfId="33"/>
    <tableColumn id="50" xr3:uid="{B136E7F2-73F4-4D32-9715-22F3AA846C37}" name="PERS_REV" dataDxfId="32">
      <calculatedColumnFormula>_00_Configuration_Articles[[#This Row],[OBU
Revision]]</calculatedColumnFormula>
    </tableColumn>
    <tableColumn id="35" xr3:uid="{1B702BD8-6912-44A8-B431-E00B37CE397F}" name="PERS" dataDxfId="31">
      <calculatedColumnFormula>_00_Configuration_Articles[[#This Row],[PERS_NUM]] &amp; _00_Configuration_Articles[[#This Row],[PERS_REV]]</calculatedColumnFormula>
    </tableColumn>
    <tableColumn id="39" xr3:uid="{B35BFCC6-12BD-48EF-AFF8-A33EECADCF5E}" name="PERS Generic" dataDxfId="30"/>
    <tableColumn id="52" xr3:uid="{C46096BD-FD7F-48D3-B5B3-9283082EAE8F}" name="GEO_NUM" dataDxfId="29"/>
    <tableColumn id="53" xr3:uid="{2094F645-583A-4D57-80DC-28546787CFC5}" name="GEO_REV" dataDxfId="28"/>
    <tableColumn id="31" xr3:uid="{79D3B7BF-8E53-4C7B-9778-AF0D6C7371AF}" name="GEOFENCE" dataDxfId="27">
      <calculatedColumnFormula>_00_Configuration_Articles[[#This Row],[GEO_NUM]] &amp; _00_Configuration_Articles[[#This Row],[GEO_REV]]</calculatedColumnFormula>
    </tableColumn>
    <tableColumn id="55" xr3:uid="{7A3239C2-BEFB-4CC6-BB1A-487F47485AFC}" name="PHRASES_NUM" dataDxfId="26"/>
    <tableColumn id="56" xr3:uid="{3C33B2C3-4E21-4B44-8EF8-36C2F6EF484F}" name="PHRASES_REV" dataDxfId="25"/>
    <tableColumn id="30" xr3:uid="{4F7C3F32-F5BD-428C-B4D1-B034B7AD8374}" name="PHRASES" dataDxfId="24">
      <calculatedColumnFormula>_00_Configuration_Articles[[#This Row],[PHRASES_NUM]] &amp; _00_Configuration_Articles[[#This Row],[PHRASES_REV]]</calculatedColumnFormula>
    </tableColumn>
    <tableColumn id="57" xr3:uid="{E1DDD7D0-D3C1-464C-8771-75EDB6A7A68A}" name="SAM_NUM" dataDxfId="23"/>
    <tableColumn id="58" xr3:uid="{725270E2-2212-40F0-954F-E803FCE9895B}" name="SAM_REV" dataDxfId="22"/>
    <tableColumn id="3" xr3:uid="{E80880A4-AE11-40FB-8AEC-1C4487FB02C0}" name="SAM" dataDxfId="21">
      <calculatedColumnFormula>_00_Configuration_Articles[[#This Row],[SAM_NUM]] &amp; _00_Configuration_Articles[[#This Row],[SAM_REV]]</calculatedColumnFormula>
    </tableColumn>
    <tableColumn id="8" xr3:uid="{7CA82BB4-89C9-4388-8134-AB3B14B1A104}" name="OS_x000a_ArtNum" dataDxfId="20"/>
    <tableColumn id="9" xr3:uid="{F595EA4B-82F2-4A42-8975-D4E368508126}" name="OS_x000a_Version" dataDxfId="19"/>
    <tableColumn id="10" xr3:uid="{CDE31F3F-CB8B-4DC6-99A1-C746B2CC8C22}" name="OS_x000a_Revision" dataDxfId="18"/>
    <tableColumn id="28" xr3:uid="{F55AEF6D-F9E5-465F-9A3B-F98FDA120C8C}" name="OS_x000a_Release_x000a_Date" dataDxfId="17"/>
    <tableColumn id="29" xr3:uid="{C1FC403F-DB21-40CE-B671-5B1BED623AF6}" name="OS_x000a_Status" dataDxfId="16"/>
    <tableColumn id="11" xr3:uid="{83E8AFD2-01A8-4964-977C-321453748AAC}" name="PCR_x000a_ArtNum" dataDxfId="15"/>
    <tableColumn id="12" xr3:uid="{EBFD2ADC-FD41-42BD-80C8-E401AA9BA985}" name="PCR_x000a_Revision" dataDxfId="14"/>
    <tableColumn id="13" xr3:uid="{13C17E97-BA57-4367-9472-8E1C1A608BE3}" name="PI_x000a_ArtNum" dataDxfId="13"/>
    <tableColumn id="14" xr3:uid="{4F13FE54-80D8-425B-B57A-6ED5948604C3}" name="PI_x000a_Revision" dataDxfId="12"/>
    <tableColumn id="15" xr3:uid="{36F25ACB-F25B-4524-906D-26537AD588F1}" name="TR_x000a_ArtNum" dataDxfId="11"/>
    <tableColumn id="16" xr3:uid="{DD66FD7C-28E0-45FA-B943-127E8F1DA503}" name="TR_x000a_Revision" dataDxfId="10"/>
    <tableColumn id="17" xr3:uid="{A109306E-20FB-4899-8B06-80D03FA7254B}" name="Author" dataDxfId="9"/>
    <tableColumn id="20" xr3:uid="{393A2FEE-39B8-476A-8804-CD31E23E96E2}" name="Release" dataDxfId="8"/>
    <tableColumn id="18" xr3:uid="{35CBEE30-2878-4D36-A935-5D34C8F734B5}" name="DOC_x000a_Reviewer1" dataDxfId="7"/>
    <tableColumn id="19" xr3:uid="{C429860E-89BD-427E-90B3-E1FCE40B78FE}" name="DOC_x000a_Reviewer2" dataDxfId="6"/>
    <tableColumn id="22" xr3:uid="{E99398A6-3A9B-4839-8F11-21177AEC165C}" name="LWM2M_x000a_Server_x000a_Param 0010" dataDxfId="5"/>
    <tableColumn id="23" xr3:uid="{F0B4B745-E571-4921-B87E-0493B713CC58}" name="Cellular_x000a_Name_x000a_Param 1000" dataDxfId="4"/>
    <tableColumn id="24" xr3:uid="{F3167D9B-BB75-430C-8DD5-0B8139C077A1}" name="Cellular_x000a_APN_x000a_Param 1001" dataDxfId="3"/>
    <tableColumn id="25" xr3:uid="{8C2DFA21-D69D-4958-B07B-FB555A46AB9A}" name="Cellular_x000a_Auth Type_x000a_Param 1004" dataDxfId="2"/>
    <tableColumn id="26" xr3:uid="{B4BEEE83-541F-499B-9174-C733F02E9B2A}" name="Cellular_x000a_Primary DNS_x000a_Param 1019" dataDxfId="1"/>
    <tableColumn id="27" xr3:uid="{6C6CB413-20E6-4D4F-B8C1-1B139E12F7BC}" name="Cellular_x000a_Secondary DNS_x000a_Param 1020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4C9-483E-474E-9BCC-F111B901EF32}">
  <sheetPr codeName="Sheet1">
    <outlinePr summaryRight="0"/>
  </sheetPr>
  <dimension ref="A1:AY44"/>
  <sheetViews>
    <sheetView tabSelected="1" workbookViewId="0">
      <pane xSplit="1" topLeftCell="B1" activePane="topRight" state="frozen"/>
      <selection pane="topRight" activeCell="AT16" sqref="AT16"/>
    </sheetView>
  </sheetViews>
  <sheetFormatPr defaultColWidth="9.140625" defaultRowHeight="15" outlineLevelCol="1" x14ac:dyDescent="0.25"/>
  <cols>
    <col min="1" max="1" width="22.7109375" style="48" customWidth="1"/>
    <col min="2" max="2" width="7.85546875" style="49" bestFit="1" customWidth="1"/>
    <col min="3" max="3" width="45.5703125" style="70" bestFit="1" customWidth="1"/>
    <col min="4" max="4" width="11.85546875" style="39" bestFit="1" customWidth="1" collapsed="1"/>
    <col min="5" max="5" width="13.140625" style="40" hidden="1" customWidth="1" outlineLevel="1"/>
    <col min="6" max="6" width="13.5703125" style="10" customWidth="1" collapsed="1"/>
    <col min="7" max="7" width="13.5703125" style="50" hidden="1" customWidth="1" outlineLevel="1"/>
    <col min="8" max="8" width="13.140625" style="50" hidden="1" customWidth="1" outlineLevel="1"/>
    <col min="9" max="9" width="17.85546875" style="16" hidden="1" customWidth="1" outlineLevel="1"/>
    <col min="10" max="10" width="10" style="42" hidden="1" customWidth="1" outlineLevel="1"/>
    <col min="11" max="11" width="15.85546875" style="43" hidden="1" customWidth="1" outlineLevel="1"/>
    <col min="12" max="12" width="11.7109375" style="51" hidden="1" customWidth="1" outlineLevel="1"/>
    <col min="13" max="13" width="11.7109375" style="21" hidden="1" customWidth="1" outlineLevel="1"/>
    <col min="14" max="14" width="11.7109375" style="12" hidden="1" customWidth="1" outlineLevel="1"/>
    <col min="15" max="15" width="14.28515625" style="14" hidden="1" customWidth="1" outlineLevel="1"/>
    <col min="16" max="16" width="14.28515625" style="21" hidden="1" customWidth="1" outlineLevel="1"/>
    <col min="17" max="17" width="14.28515625" style="15" hidden="1" customWidth="1" outlineLevel="1"/>
    <col min="18" max="18" width="10.7109375" style="7" hidden="1" customWidth="1" outlineLevel="1"/>
    <col min="19" max="19" width="10.7109375" style="19" hidden="1" customWidth="1" outlineLevel="1"/>
    <col min="20" max="20" width="10.7109375" style="20" hidden="1" customWidth="1" outlineLevel="1"/>
    <col min="21" max="21" width="12.5703125" style="44" hidden="1" customWidth="1" outlineLevel="1"/>
    <col min="22" max="22" width="10.7109375" style="14" hidden="1" customWidth="1" outlineLevel="1"/>
    <col min="23" max="23" width="10.7109375" style="19" hidden="1" customWidth="1" outlineLevel="1"/>
    <col min="24" max="24" width="10.7109375" style="15" hidden="1" customWidth="1" outlineLevel="1"/>
    <col min="25" max="25" width="14.28515625" style="7" hidden="1" customWidth="1" outlineLevel="1"/>
    <col min="26" max="26" width="14.28515625" style="19" hidden="1" customWidth="1" outlineLevel="1"/>
    <col min="27" max="27" width="14.28515625" style="15" hidden="1" customWidth="1" outlineLevel="1"/>
    <col min="28" max="28" width="10.7109375" style="5" hidden="1" customWidth="1" outlineLevel="1"/>
    <col min="29" max="29" width="10.7109375" style="19" hidden="1" customWidth="1" outlineLevel="1"/>
    <col min="30" max="30" width="10.7109375" style="45" hidden="1" customWidth="1" outlineLevel="1"/>
    <col min="31" max="31" width="13.42578125" style="58" bestFit="1" customWidth="1" collapsed="1"/>
    <col min="32" max="32" width="12.42578125" style="72" hidden="1" customWidth="1" outlineLevel="1"/>
    <col min="33" max="33" width="13.140625" style="75" hidden="1" customWidth="1" outlineLevel="1"/>
    <col min="34" max="34" width="12.5703125" style="75" hidden="1" customWidth="1" outlineLevel="1"/>
    <col min="35" max="35" width="11" style="56" hidden="1" customWidth="1" outlineLevel="1"/>
    <col min="36" max="36" width="13.42578125" style="14" hidden="1" customWidth="1" outlineLevel="1"/>
    <col min="37" max="37" width="13.140625" style="74" hidden="1" customWidth="1" outlineLevel="1"/>
    <col min="38" max="38" width="13.42578125" style="14" hidden="1" customWidth="1" outlineLevel="1"/>
    <col min="39" max="39" width="13.140625" style="74" hidden="1" customWidth="1" outlineLevel="1"/>
    <col min="40" max="40" width="13.42578125" style="54" hidden="1" customWidth="1" outlineLevel="1"/>
    <col min="41" max="41" width="13.140625" style="75" hidden="1" customWidth="1" outlineLevel="1"/>
    <col min="42" max="42" width="13.42578125" style="59" bestFit="1" customWidth="1" collapsed="1"/>
    <col min="43" max="43" width="16.42578125" style="55" hidden="1" customWidth="1" outlineLevel="1"/>
    <col min="44" max="44" width="16.85546875" style="55" hidden="1" customWidth="1" outlineLevel="1"/>
    <col min="45" max="45" width="15" style="65" hidden="1" customWidth="1" outlineLevel="1"/>
    <col min="46" max="46" width="52.85546875" style="64" bestFit="1" customWidth="1" collapsed="1"/>
    <col min="47" max="47" width="15.5703125" style="4" hidden="1" customWidth="1" outlineLevel="1"/>
    <col min="48" max="48" width="17.42578125" style="4" hidden="1" customWidth="1" outlineLevel="1"/>
    <col min="49" max="49" width="15.5703125" style="4" hidden="1" customWidth="1" outlineLevel="1"/>
    <col min="50" max="50" width="16.5703125" style="4" hidden="1" customWidth="1" outlineLevel="1"/>
    <col min="51" max="51" width="19" style="46" hidden="1" customWidth="1" outlineLevel="1"/>
    <col min="52" max="16384" width="9.140625" style="4"/>
  </cols>
  <sheetData>
    <row r="1" spans="1:51" s="36" customFormat="1" ht="45" x14ac:dyDescent="0.25">
      <c r="A1" s="22" t="s">
        <v>11</v>
      </c>
      <c r="B1" s="23" t="s">
        <v>15</v>
      </c>
      <c r="C1" s="68" t="s">
        <v>239</v>
      </c>
      <c r="D1" s="24" t="s">
        <v>93</v>
      </c>
      <c r="E1" s="25" t="s">
        <v>98</v>
      </c>
      <c r="F1" s="9" t="s">
        <v>31</v>
      </c>
      <c r="G1" s="2" t="s">
        <v>32</v>
      </c>
      <c r="H1" s="26" t="s">
        <v>33</v>
      </c>
      <c r="I1" s="8" t="s">
        <v>50</v>
      </c>
      <c r="J1" s="27" t="s">
        <v>34</v>
      </c>
      <c r="K1" s="28" t="s">
        <v>101</v>
      </c>
      <c r="L1" s="13" t="s">
        <v>176</v>
      </c>
      <c r="M1" s="18" t="s">
        <v>171</v>
      </c>
      <c r="N1" s="11" t="s">
        <v>102</v>
      </c>
      <c r="O1" s="13" t="s">
        <v>187</v>
      </c>
      <c r="P1" s="18" t="s">
        <v>172</v>
      </c>
      <c r="Q1" s="11" t="s">
        <v>103</v>
      </c>
      <c r="R1" s="2" t="s">
        <v>198</v>
      </c>
      <c r="S1" s="18" t="s">
        <v>173</v>
      </c>
      <c r="T1" s="8" t="s">
        <v>104</v>
      </c>
      <c r="U1" s="29" t="s">
        <v>108</v>
      </c>
      <c r="V1" s="13" t="s">
        <v>211</v>
      </c>
      <c r="W1" s="18" t="s">
        <v>174</v>
      </c>
      <c r="X1" s="11" t="s">
        <v>105</v>
      </c>
      <c r="Y1" s="2" t="s">
        <v>220</v>
      </c>
      <c r="Z1" s="18" t="s">
        <v>175</v>
      </c>
      <c r="AA1" s="11" t="s">
        <v>106</v>
      </c>
      <c r="AB1" s="1" t="s">
        <v>230</v>
      </c>
      <c r="AC1" s="18" t="s">
        <v>231</v>
      </c>
      <c r="AD1" s="30" t="s">
        <v>107</v>
      </c>
      <c r="AE1" s="57" t="s">
        <v>47</v>
      </c>
      <c r="AF1" s="71" t="s">
        <v>41</v>
      </c>
      <c r="AG1" s="71" t="s">
        <v>100</v>
      </c>
      <c r="AH1" s="71" t="s">
        <v>79</v>
      </c>
      <c r="AI1" s="32" t="s">
        <v>78</v>
      </c>
      <c r="AJ1" s="60" t="s">
        <v>45</v>
      </c>
      <c r="AK1" s="73" t="s">
        <v>35</v>
      </c>
      <c r="AL1" s="13" t="s">
        <v>46</v>
      </c>
      <c r="AM1" s="73" t="s">
        <v>36</v>
      </c>
      <c r="AN1" s="3" t="s">
        <v>48</v>
      </c>
      <c r="AO1" s="71" t="s">
        <v>37</v>
      </c>
      <c r="AP1" s="62" t="s">
        <v>38</v>
      </c>
      <c r="AQ1" s="33" t="s">
        <v>49</v>
      </c>
      <c r="AR1" s="3" t="s">
        <v>39</v>
      </c>
      <c r="AS1" s="31" t="s">
        <v>40</v>
      </c>
      <c r="AT1" s="66" t="s">
        <v>52</v>
      </c>
      <c r="AU1" s="6" t="s">
        <v>53</v>
      </c>
      <c r="AV1" s="34" t="s">
        <v>54</v>
      </c>
      <c r="AW1" s="34" t="s">
        <v>55</v>
      </c>
      <c r="AX1" s="34" t="s">
        <v>56</v>
      </c>
      <c r="AY1" s="35" t="s">
        <v>57</v>
      </c>
    </row>
    <row r="2" spans="1:51" ht="15" customHeight="1" x14ac:dyDescent="0.25">
      <c r="A2" s="37" t="s">
        <v>3</v>
      </c>
      <c r="B2" s="38" t="s">
        <v>0</v>
      </c>
      <c r="C2" s="69" t="s">
        <v>240</v>
      </c>
      <c r="D2" s="39" t="s">
        <v>94</v>
      </c>
      <c r="E2" s="40" t="s">
        <v>96</v>
      </c>
      <c r="F2" s="10" t="str">
        <f>LEFT(_00_Configuration_Articles[[#This Row],[OBU
ArtNum2]], 3) &amp; "-" &amp; RIGHT(_00_Configuration_Articles[[#This Row],[OBU
ArtNum2]], 3)</f>
        <v>009-209</v>
      </c>
      <c r="G2" s="7" t="s">
        <v>5</v>
      </c>
      <c r="H2" s="41" t="s">
        <v>66</v>
      </c>
      <c r="I2" s="17" t="str" cm="1">
        <f t="array" ref="I2">StrToHex(_00_Configuration_Articles[[#This Row],[OBU
ArtNum2]]) &amp; " " &amp; StrToHex(_00_Configuration_Articles[[#This Row],[OBU
Revision]])</f>
        <v>30 30 39 32 30 39 43</v>
      </c>
      <c r="J2" s="42">
        <v>1</v>
      </c>
      <c r="K2" s="43" t="s">
        <v>111</v>
      </c>
      <c r="L2" s="14" t="s">
        <v>177</v>
      </c>
      <c r="M2" s="19" t="str">
        <f>_00_Configuration_Articles[[#This Row],[OBU
Revision]]</f>
        <v>C</v>
      </c>
      <c r="N2" s="15" t="str">
        <f>_00_Configuration_Articles[[#This Row],[CONF_NUM]] &amp; _00_Configuration_Articles[[#This Row],[CONF_REV]]</f>
        <v>605253C</v>
      </c>
      <c r="O2" s="14" t="s">
        <v>188</v>
      </c>
      <c r="P2" s="19" t="s">
        <v>163</v>
      </c>
      <c r="Q2" s="15" t="str">
        <f>_00_Configuration_Articles[[#This Row],[PARAMS_NUM]] &amp; _00_Configuration_Articles[[#This Row],[PARAMS_REV]]</f>
        <v>605254B</v>
      </c>
      <c r="R2" s="7" t="s">
        <v>199</v>
      </c>
      <c r="S2" s="19" t="str">
        <f>_00_Configuration_Articles[[#This Row],[OBU
Revision]]</f>
        <v>C</v>
      </c>
      <c r="T2" s="20" t="str">
        <f>_00_Configuration_Articles[[#This Row],[PERS_NUM]] &amp; _00_Configuration_Articles[[#This Row],[PERS_REV]]</f>
        <v>605255C</v>
      </c>
      <c r="U2" s="44" t="s">
        <v>109</v>
      </c>
      <c r="V2" s="14" t="s">
        <v>212</v>
      </c>
      <c r="W2" s="19" t="s">
        <v>163</v>
      </c>
      <c r="X2" s="15" t="str">
        <f>_00_Configuration_Articles[[#This Row],[GEO_NUM]] &amp; _00_Configuration_Articles[[#This Row],[GEO_REV]]</f>
        <v>605256B</v>
      </c>
      <c r="Y2" s="7" t="s">
        <v>221</v>
      </c>
      <c r="Z2" s="19" t="s">
        <v>163</v>
      </c>
      <c r="AA2" s="15" t="str">
        <f>_00_Configuration_Articles[[#This Row],[PHRASES_NUM]] &amp; _00_Configuration_Articles[[#This Row],[PHRASES_REV]]</f>
        <v>605257B</v>
      </c>
      <c r="AB2" s="14" t="s">
        <v>232</v>
      </c>
      <c r="AC2" s="19" t="s">
        <v>118</v>
      </c>
      <c r="AD2" s="45" t="str">
        <f>_00_Configuration_Articles[[#This Row],[SAM_NUM]] &amp; _00_Configuration_Articles[[#This Row],[SAM_REV]]</f>
        <v>009236A</v>
      </c>
      <c r="AE2" s="58" t="s">
        <v>22</v>
      </c>
      <c r="AF2" s="72" t="s">
        <v>89</v>
      </c>
      <c r="AG2" s="75" t="s">
        <v>68</v>
      </c>
      <c r="AH2" s="75" t="s">
        <v>90</v>
      </c>
      <c r="AI2" s="56" t="s">
        <v>80</v>
      </c>
      <c r="AJ2" s="14" t="s">
        <v>23</v>
      </c>
      <c r="AK2" s="74" t="s">
        <v>68</v>
      </c>
      <c r="AL2" s="14" t="s">
        <v>9</v>
      </c>
      <c r="AM2" s="74" t="s">
        <v>68</v>
      </c>
      <c r="AN2" s="54" t="s">
        <v>24</v>
      </c>
      <c r="AO2" s="75" t="s">
        <v>68</v>
      </c>
      <c r="AP2" s="59" t="s">
        <v>43</v>
      </c>
      <c r="AQ2" s="55" t="s">
        <v>82</v>
      </c>
      <c r="AR2" s="55" t="s">
        <v>51</v>
      </c>
      <c r="AS2" s="65" t="s">
        <v>76</v>
      </c>
      <c r="AT2" s="67" t="s">
        <v>75</v>
      </c>
      <c r="AU2" s="16" t="s">
        <v>73</v>
      </c>
      <c r="AV2" s="47" t="s">
        <v>72</v>
      </c>
      <c r="AW2" s="4" t="s">
        <v>21</v>
      </c>
      <c r="AX2" s="4" t="s">
        <v>62</v>
      </c>
      <c r="AY2" s="46" t="s">
        <v>63</v>
      </c>
    </row>
    <row r="3" spans="1:51" x14ac:dyDescent="0.25">
      <c r="A3" s="37" t="s">
        <v>126</v>
      </c>
      <c r="B3" s="38" t="s">
        <v>130</v>
      </c>
      <c r="C3" s="69" t="s">
        <v>241</v>
      </c>
      <c r="D3" s="39" t="s">
        <v>251</v>
      </c>
      <c r="E3" s="40" t="s">
        <v>253</v>
      </c>
      <c r="F3" s="10" t="str">
        <f>LEFT(_00_Configuration_Articles[[#This Row],[OBU
ArtNum2]], 3) &amp; "-" &amp; RIGHT(_00_Configuration_Articles[[#This Row],[OBU
ArtNum2]], 3)</f>
        <v>009-158</v>
      </c>
      <c r="G3" s="7" t="s">
        <v>133</v>
      </c>
      <c r="H3" s="41" t="s">
        <v>66</v>
      </c>
      <c r="I3" s="17" t="str" cm="1">
        <f t="array" ref="I3">StrToHex(_00_Configuration_Articles[[#This Row],[OBU
ArtNum2]]) &amp; " " &amp; StrToHex(_00_Configuration_Articles[[#This Row],[OBU
Revision]])</f>
        <v>30 30 39 31 35 38 43</v>
      </c>
      <c r="J3" s="42">
        <v>3</v>
      </c>
      <c r="K3" s="43" t="s">
        <v>139</v>
      </c>
      <c r="L3" s="14" t="s">
        <v>178</v>
      </c>
      <c r="M3" s="19" t="str">
        <f>_00_Configuration_Articles[[#This Row],[OBU
Revision]]</f>
        <v>C</v>
      </c>
      <c r="N3" s="15" t="str">
        <f>_00_Configuration_Articles[[#This Row],[CONF_NUM]] &amp; _00_Configuration_Articles[[#This Row],[CONF_REV]]</f>
        <v>605198C</v>
      </c>
      <c r="O3" s="14" t="s">
        <v>189</v>
      </c>
      <c r="P3" s="19" t="s">
        <v>66</v>
      </c>
      <c r="Q3" s="15" t="str">
        <f>_00_Configuration_Articles[[#This Row],[PARAMS_NUM]] &amp; _00_Configuration_Articles[[#This Row],[PARAMS_REV]]</f>
        <v>605200C</v>
      </c>
      <c r="R3" s="7" t="s">
        <v>200</v>
      </c>
      <c r="S3" s="19" t="str">
        <f>_00_Configuration_Articles[[#This Row],[OBU
Revision]]</f>
        <v>C</v>
      </c>
      <c r="T3" s="20" t="str">
        <f>_00_Configuration_Articles[[#This Row],[PERS_NUM]] &amp; _00_Configuration_Articles[[#This Row],[PERS_REV]]</f>
        <v>605199C</v>
      </c>
      <c r="U3" s="44" t="s">
        <v>138</v>
      </c>
      <c r="V3" s="14" t="s">
        <v>213</v>
      </c>
      <c r="W3" s="19" t="s">
        <v>163</v>
      </c>
      <c r="X3" s="15" t="str">
        <f>_00_Configuration_Articles[[#This Row],[GEO_NUM]] &amp; _00_Configuration_Articles[[#This Row],[GEO_REV]]</f>
        <v>603807B</v>
      </c>
      <c r="Y3" s="7" t="s">
        <v>222</v>
      </c>
      <c r="Z3" s="19" t="s">
        <v>66</v>
      </c>
      <c r="AA3" s="15" t="str">
        <f>_00_Configuration_Articles[[#This Row],[PHRASES_NUM]] &amp; _00_Configuration_Articles[[#This Row],[PHRASES_REV]]</f>
        <v>605207C</v>
      </c>
      <c r="AB3" s="14" t="s">
        <v>233</v>
      </c>
      <c r="AC3" s="19" t="s">
        <v>118</v>
      </c>
      <c r="AD3" s="45" t="str">
        <f>_00_Configuration_Articles[[#This Row],[SAM_NUM]] &amp; _00_Configuration_Articles[[#This Row],[SAM_REV]]</f>
        <v>008216A</v>
      </c>
      <c r="AE3" s="58" t="s">
        <v>157</v>
      </c>
      <c r="AG3" s="75" t="s">
        <v>68</v>
      </c>
      <c r="AJ3" s="14" t="s">
        <v>161</v>
      </c>
      <c r="AK3" s="74" t="s">
        <v>68</v>
      </c>
      <c r="AL3" s="14" t="s">
        <v>162</v>
      </c>
      <c r="AM3" s="74" t="s">
        <v>68</v>
      </c>
      <c r="AP3" s="59" t="s">
        <v>43</v>
      </c>
      <c r="AS3" s="65" t="s">
        <v>76</v>
      </c>
      <c r="AT3" s="67" t="s">
        <v>155</v>
      </c>
      <c r="AU3" s="4" t="s">
        <v>146</v>
      </c>
      <c r="AV3" s="4" t="s">
        <v>147</v>
      </c>
      <c r="AW3" s="4" t="s">
        <v>21</v>
      </c>
      <c r="AX3" s="4" t="s">
        <v>149</v>
      </c>
      <c r="AY3" s="4" t="s">
        <v>150</v>
      </c>
    </row>
    <row r="4" spans="1:51" x14ac:dyDescent="0.25">
      <c r="A4" s="37" t="s">
        <v>127</v>
      </c>
      <c r="B4" s="38" t="s">
        <v>130</v>
      </c>
      <c r="C4" s="69" t="s">
        <v>242</v>
      </c>
      <c r="D4" s="39" t="s">
        <v>131</v>
      </c>
      <c r="E4" s="40" t="s">
        <v>132</v>
      </c>
      <c r="F4" s="10" t="str">
        <f>LEFT(_00_Configuration_Articles[[#This Row],[OBU
ArtNum2]], 3) &amp; "-" &amp; RIGHT(_00_Configuration_Articles[[#This Row],[OBU
ArtNum2]], 3)</f>
        <v>009-263</v>
      </c>
      <c r="G4" s="7" t="s">
        <v>134</v>
      </c>
      <c r="H4" s="41" t="s">
        <v>118</v>
      </c>
      <c r="I4" s="17" t="str" cm="1">
        <f t="array" ref="I4">StrToHex(_00_Configuration_Articles[[#This Row],[OBU
ArtNum2]]) &amp; " " &amp; StrToHex(_00_Configuration_Articles[[#This Row],[OBU
Revision]])</f>
        <v>30 30 39 32 36 33 41</v>
      </c>
      <c r="J4" s="42">
        <v>3</v>
      </c>
      <c r="K4" s="43" t="s">
        <v>139</v>
      </c>
      <c r="L4" s="14" t="s">
        <v>179</v>
      </c>
      <c r="M4" s="19" t="str">
        <f>_00_Configuration_Articles[[#This Row],[OBU
Revision]]</f>
        <v>A</v>
      </c>
      <c r="N4" s="15" t="str">
        <f>_00_Configuration_Articles[[#This Row],[CONF_NUM]] &amp; _00_Configuration_Articles[[#This Row],[CONF_REV]]</f>
        <v>605314A</v>
      </c>
      <c r="O4" s="14" t="s">
        <v>190</v>
      </c>
      <c r="P4" s="19" t="s">
        <v>118</v>
      </c>
      <c r="Q4" s="15" t="str">
        <f>_00_Configuration_Articles[[#This Row],[PARAMS_NUM]] &amp; _00_Configuration_Articles[[#This Row],[PARAMS_REV]]</f>
        <v>605316A</v>
      </c>
      <c r="R4" s="7" t="s">
        <v>201</v>
      </c>
      <c r="S4" s="19" t="str">
        <f>_00_Configuration_Articles[[#This Row],[OBU
Revision]]</f>
        <v>A</v>
      </c>
      <c r="T4" s="20" t="str">
        <f>_00_Configuration_Articles[[#This Row],[PERS_NUM]] &amp; _00_Configuration_Articles[[#This Row],[PERS_REV]]</f>
        <v>605315A</v>
      </c>
      <c r="U4" s="44" t="s">
        <v>138</v>
      </c>
      <c r="V4" s="14" t="s">
        <v>213</v>
      </c>
      <c r="W4" s="19" t="s">
        <v>163</v>
      </c>
      <c r="X4" s="15" t="str">
        <f>_00_Configuration_Articles[[#This Row],[GEO_NUM]] &amp; _00_Configuration_Articles[[#This Row],[GEO_REV]]</f>
        <v>603807B</v>
      </c>
      <c r="Y4" s="7" t="s">
        <v>222</v>
      </c>
      <c r="Z4" s="19" t="s">
        <v>163</v>
      </c>
      <c r="AA4" s="15" t="str">
        <f>_00_Configuration_Articles[[#This Row],[PHRASES_NUM]] &amp; _00_Configuration_Articles[[#This Row],[PHRASES_REV]]</f>
        <v>605207B</v>
      </c>
      <c r="AB4" s="14" t="s">
        <v>234</v>
      </c>
      <c r="AC4" s="19" t="s">
        <v>118</v>
      </c>
      <c r="AD4" s="45" t="str">
        <f>_00_Configuration_Articles[[#This Row],[SAM_NUM]] &amp; _00_Configuration_Articles[[#This Row],[SAM_REV]]</f>
        <v>007995A</v>
      </c>
      <c r="AE4" s="59" t="s">
        <v>141</v>
      </c>
      <c r="AG4" s="75" t="s">
        <v>121</v>
      </c>
      <c r="AJ4" s="61" t="s">
        <v>142</v>
      </c>
      <c r="AK4" s="74" t="s">
        <v>121</v>
      </c>
      <c r="AL4" s="61" t="s">
        <v>143</v>
      </c>
      <c r="AM4" s="74" t="s">
        <v>121</v>
      </c>
      <c r="AP4" s="59" t="s">
        <v>43</v>
      </c>
      <c r="AS4" s="65" t="s">
        <v>76</v>
      </c>
      <c r="AT4" s="67" t="s">
        <v>148</v>
      </c>
      <c r="AU4" s="4" t="s">
        <v>146</v>
      </c>
      <c r="AV4" s="4" t="s">
        <v>147</v>
      </c>
      <c r="AW4" s="4" t="s">
        <v>21</v>
      </c>
      <c r="AX4" s="4" t="s">
        <v>149</v>
      </c>
      <c r="AY4" s="4" t="s">
        <v>150</v>
      </c>
    </row>
    <row r="5" spans="1:51" x14ac:dyDescent="0.25">
      <c r="A5" s="37" t="s">
        <v>128</v>
      </c>
      <c r="B5" s="38" t="s">
        <v>130</v>
      </c>
      <c r="C5" s="69" t="s">
        <v>243</v>
      </c>
      <c r="D5" s="39" t="s">
        <v>251</v>
      </c>
      <c r="E5" s="40" t="s">
        <v>253</v>
      </c>
      <c r="F5" s="10" t="str">
        <f>LEFT(_00_Configuration_Articles[[#This Row],[OBU
ArtNum2]], 3) &amp; "-" &amp; RIGHT(_00_Configuration_Articles[[#This Row],[OBU
ArtNum2]], 3)</f>
        <v>007-920</v>
      </c>
      <c r="G5" s="7" t="s">
        <v>135</v>
      </c>
      <c r="H5" s="41" t="s">
        <v>229</v>
      </c>
      <c r="I5" s="17" t="str" cm="1">
        <f t="array" ref="I5">StrToHex(_00_Configuration_Articles[[#This Row],[OBU
ArtNum2]]) &amp; " " &amp; StrToHex(_00_Configuration_Articles[[#This Row],[OBU
Revision]])</f>
        <v>30 30 37 39 32 30 46</v>
      </c>
      <c r="J5" s="42">
        <v>3</v>
      </c>
      <c r="K5" s="43" t="s">
        <v>137</v>
      </c>
      <c r="L5" s="14" t="s">
        <v>180</v>
      </c>
      <c r="M5" s="19" t="str">
        <f>_00_Configuration_Articles[[#This Row],[OBU
Revision]]</f>
        <v>F</v>
      </c>
      <c r="N5" s="15" t="str">
        <f>_00_Configuration_Articles[[#This Row],[CONF_NUM]] &amp; _00_Configuration_Articles[[#This Row],[CONF_REV]]</f>
        <v>603834F</v>
      </c>
      <c r="O5" s="14" t="s">
        <v>191</v>
      </c>
      <c r="P5" s="19" t="s">
        <v>66</v>
      </c>
      <c r="Q5" s="15" t="str">
        <f>_00_Configuration_Articles[[#This Row],[PARAMS_NUM]] &amp; _00_Configuration_Articles[[#This Row],[PARAMS_REV]]</f>
        <v>605210C</v>
      </c>
      <c r="R5" s="7" t="s">
        <v>202</v>
      </c>
      <c r="S5" s="19" t="str">
        <f>_00_Configuration_Articles[[#This Row],[OBU
Revision]]</f>
        <v>F</v>
      </c>
      <c r="T5" s="20" t="str">
        <f>_00_Configuration_Articles[[#This Row],[PERS_NUM]] &amp; _00_Configuration_Articles[[#This Row],[PERS_REV]]</f>
        <v>603842F</v>
      </c>
      <c r="U5" s="44" t="s">
        <v>138</v>
      </c>
      <c r="V5" s="14" t="s">
        <v>213</v>
      </c>
      <c r="W5" s="19" t="s">
        <v>163</v>
      </c>
      <c r="X5" s="15" t="str">
        <f>_00_Configuration_Articles[[#This Row],[GEO_NUM]] &amp; _00_Configuration_Articles[[#This Row],[GEO_REV]]</f>
        <v>603807B</v>
      </c>
      <c r="Y5" s="7" t="s">
        <v>223</v>
      </c>
      <c r="Z5" s="19" t="s">
        <v>164</v>
      </c>
      <c r="AA5" s="15" t="str">
        <f>_00_Configuration_Articles[[#This Row],[PHRASES_NUM]] &amp; _00_Configuration_Articles[[#This Row],[PHRASES_REV]]</f>
        <v>603970E</v>
      </c>
      <c r="AB5" s="14" t="s">
        <v>235</v>
      </c>
      <c r="AC5" s="19" t="s">
        <v>118</v>
      </c>
      <c r="AD5" s="45" t="str">
        <f>_00_Configuration_Articles[[#This Row],[SAM_NUM]] &amp; _00_Configuration_Articles[[#This Row],[SAM_REV]]</f>
        <v>008173A</v>
      </c>
      <c r="AE5" s="58" t="s">
        <v>158</v>
      </c>
      <c r="AG5" s="75" t="s">
        <v>229</v>
      </c>
      <c r="AJ5" s="14" t="s">
        <v>160</v>
      </c>
      <c r="AK5" s="74" t="s">
        <v>68</v>
      </c>
      <c r="AL5" s="14" t="s">
        <v>159</v>
      </c>
      <c r="AM5" s="74" t="s">
        <v>229</v>
      </c>
      <c r="AP5" s="59" t="s">
        <v>43</v>
      </c>
      <c r="AS5" s="65" t="s">
        <v>76</v>
      </c>
      <c r="AT5" s="67" t="s">
        <v>156</v>
      </c>
      <c r="AU5" s="4" t="s">
        <v>151</v>
      </c>
      <c r="AV5" s="4" t="s">
        <v>152</v>
      </c>
      <c r="AW5" s="4" t="s">
        <v>61</v>
      </c>
      <c r="AX5" s="4" t="s">
        <v>153</v>
      </c>
      <c r="AY5" s="4" t="s">
        <v>154</v>
      </c>
    </row>
    <row r="6" spans="1:51" x14ac:dyDescent="0.25">
      <c r="A6" s="37" t="s">
        <v>129</v>
      </c>
      <c r="B6" s="38" t="s">
        <v>130</v>
      </c>
      <c r="C6" s="69" t="s">
        <v>244</v>
      </c>
      <c r="D6" s="39" t="s">
        <v>131</v>
      </c>
      <c r="E6" s="40" t="s">
        <v>132</v>
      </c>
      <c r="F6" s="10" t="str">
        <f>LEFT(_00_Configuration_Articles[[#This Row],[OBU
ArtNum2]], 3) &amp; "-" &amp; RIGHT(_00_Configuration_Articles[[#This Row],[OBU
ArtNum2]], 3)</f>
        <v>009-262</v>
      </c>
      <c r="G6" s="7" t="s">
        <v>136</v>
      </c>
      <c r="H6" s="41" t="s">
        <v>118</v>
      </c>
      <c r="I6" s="17" t="str" cm="1">
        <f t="array" ref="I6">StrToHex(_00_Configuration_Articles[[#This Row],[OBU
ArtNum2]]) &amp; " " &amp; StrToHex(_00_Configuration_Articles[[#This Row],[OBU
Revision]])</f>
        <v>30 30 39 32 36 32 41</v>
      </c>
      <c r="J6" s="42">
        <v>3</v>
      </c>
      <c r="K6" s="43" t="s">
        <v>137</v>
      </c>
      <c r="L6" s="14" t="s">
        <v>181</v>
      </c>
      <c r="M6" s="19" t="str">
        <f>_00_Configuration_Articles[[#This Row],[OBU
Revision]]</f>
        <v>A</v>
      </c>
      <c r="N6" s="15" t="str">
        <f>_00_Configuration_Articles[[#This Row],[CONF_NUM]] &amp; _00_Configuration_Articles[[#This Row],[CONF_REV]]</f>
        <v>605311A</v>
      </c>
      <c r="O6" s="14" t="s">
        <v>192</v>
      </c>
      <c r="P6" s="19" t="s">
        <v>118</v>
      </c>
      <c r="Q6" s="15" t="str">
        <f>_00_Configuration_Articles[[#This Row],[PARAMS_NUM]] &amp; _00_Configuration_Articles[[#This Row],[PARAMS_REV]]</f>
        <v>605313A</v>
      </c>
      <c r="R6" s="7" t="s">
        <v>203</v>
      </c>
      <c r="S6" s="19" t="str">
        <f>_00_Configuration_Articles[[#This Row],[OBU
Revision]]</f>
        <v>A</v>
      </c>
      <c r="T6" s="20" t="str">
        <f>_00_Configuration_Articles[[#This Row],[PERS_NUM]] &amp; _00_Configuration_Articles[[#This Row],[PERS_REV]]</f>
        <v>605312A</v>
      </c>
      <c r="U6" s="44" t="s">
        <v>138</v>
      </c>
      <c r="V6" s="14" t="s">
        <v>213</v>
      </c>
      <c r="W6" s="19" t="s">
        <v>163</v>
      </c>
      <c r="X6" s="15" t="str">
        <f>_00_Configuration_Articles[[#This Row],[GEO_NUM]] &amp; _00_Configuration_Articles[[#This Row],[GEO_REV]]</f>
        <v>603807B</v>
      </c>
      <c r="Y6" s="7" t="s">
        <v>223</v>
      </c>
      <c r="Z6" s="19" t="s">
        <v>219</v>
      </c>
      <c r="AA6" s="15" t="str">
        <f>_00_Configuration_Articles[[#This Row],[PHRASES_NUM]] &amp; _00_Configuration_Articles[[#This Row],[PHRASES_REV]]</f>
        <v>603970D</v>
      </c>
      <c r="AB6" s="14" t="s">
        <v>234</v>
      </c>
      <c r="AC6" s="19" t="s">
        <v>118</v>
      </c>
      <c r="AD6" s="45" t="str">
        <f>_00_Configuration_Articles[[#This Row],[SAM_NUM]] &amp; _00_Configuration_Articles[[#This Row],[SAM_REV]]</f>
        <v>007995A</v>
      </c>
      <c r="AE6" s="59" t="s">
        <v>140</v>
      </c>
      <c r="AG6" s="75" t="s">
        <v>121</v>
      </c>
      <c r="AJ6" s="61" t="s">
        <v>144</v>
      </c>
      <c r="AK6" s="74" t="s">
        <v>121</v>
      </c>
      <c r="AL6" s="61" t="s">
        <v>145</v>
      </c>
      <c r="AM6" s="74" t="s">
        <v>121</v>
      </c>
      <c r="AP6" s="59" t="s">
        <v>43</v>
      </c>
      <c r="AS6" s="65" t="s">
        <v>76</v>
      </c>
      <c r="AT6" s="63" t="s">
        <v>165</v>
      </c>
      <c r="AU6" s="4" t="s">
        <v>151</v>
      </c>
      <c r="AV6" s="4" t="s">
        <v>152</v>
      </c>
      <c r="AW6" s="4" t="s">
        <v>61</v>
      </c>
      <c r="AX6" s="4" t="s">
        <v>153</v>
      </c>
      <c r="AY6" s="4" t="s">
        <v>154</v>
      </c>
    </row>
    <row r="7" spans="1:51" x14ac:dyDescent="0.25">
      <c r="A7" s="37" t="s">
        <v>4</v>
      </c>
      <c r="B7" s="38" t="s">
        <v>1</v>
      </c>
      <c r="C7" s="69" t="s">
        <v>245</v>
      </c>
      <c r="D7" s="39" t="s">
        <v>251</v>
      </c>
      <c r="E7" s="40" t="s">
        <v>254</v>
      </c>
      <c r="F7" s="10" t="str">
        <f>LEFT(_00_Configuration_Articles[[#This Row],[OBU
ArtNum2]], 3) &amp; "-" &amp; RIGHT(_00_Configuration_Articles[[#This Row],[OBU
ArtNum2]], 3)</f>
        <v>009-240</v>
      </c>
      <c r="G7" s="7" t="s">
        <v>6</v>
      </c>
      <c r="H7" s="41" t="s">
        <v>219</v>
      </c>
      <c r="I7" s="17" t="str" cm="1">
        <f t="array" ref="I7">StrToHex(_00_Configuration_Articles[[#This Row],[OBU
ArtNum2]]) &amp; " " &amp; StrToHex(_00_Configuration_Articles[[#This Row],[OBU
Revision]])</f>
        <v>30 30 39 32 34 30 44</v>
      </c>
      <c r="J7" s="42">
        <v>3</v>
      </c>
      <c r="K7" s="43" t="s">
        <v>110</v>
      </c>
      <c r="L7" s="14" t="s">
        <v>182</v>
      </c>
      <c r="M7" s="19" t="str">
        <f>_00_Configuration_Articles[[#This Row],[OBU
Revision]]</f>
        <v>D</v>
      </c>
      <c r="N7" s="15" t="str">
        <f>_00_Configuration_Articles[[#This Row],[CONF_NUM]] &amp; _00_Configuration_Articles[[#This Row],[CONF_REV]]</f>
        <v>605293D</v>
      </c>
      <c r="O7" s="14" t="s">
        <v>193</v>
      </c>
      <c r="P7" s="19" t="s">
        <v>219</v>
      </c>
      <c r="Q7" s="15" t="str">
        <f>_00_Configuration_Articles[[#This Row],[PARAMS_NUM]] &amp; _00_Configuration_Articles[[#This Row],[PARAMS_REV]]</f>
        <v>605294D</v>
      </c>
      <c r="R7" s="7" t="s">
        <v>204</v>
      </c>
      <c r="S7" s="19" t="str">
        <f>_00_Configuration_Articles[[#This Row],[OBU
Revision]]</f>
        <v>D</v>
      </c>
      <c r="T7" s="20" t="str">
        <f>_00_Configuration_Articles[[#This Row],[PERS_NUM]] &amp; _00_Configuration_Articles[[#This Row],[PERS_REV]]</f>
        <v>605295D</v>
      </c>
      <c r="U7" s="44" t="s">
        <v>109</v>
      </c>
      <c r="V7" s="14" t="s">
        <v>214</v>
      </c>
      <c r="W7" s="19" t="s">
        <v>118</v>
      </c>
      <c r="X7" s="15" t="str">
        <f>_00_Configuration_Articles[[#This Row],[GEO_NUM]] &amp; _00_Configuration_Articles[[#This Row],[GEO_REV]]</f>
        <v>605296A</v>
      </c>
      <c r="Y7" s="7" t="s">
        <v>224</v>
      </c>
      <c r="Z7" s="19" t="s">
        <v>219</v>
      </c>
      <c r="AA7" s="15" t="str">
        <f>_00_Configuration_Articles[[#This Row],[PHRASES_NUM]] &amp; _00_Configuration_Articles[[#This Row],[PHRASES_REV]]</f>
        <v>605297D</v>
      </c>
      <c r="AB7" s="14" t="s">
        <v>236</v>
      </c>
      <c r="AC7" s="19" t="s">
        <v>118</v>
      </c>
      <c r="AD7" s="45" t="str">
        <f>_00_Configuration_Articles[[#This Row],[SAM_NUM]] &amp; _00_Configuration_Articles[[#This Row],[SAM_REV]]</f>
        <v>009143A</v>
      </c>
      <c r="AE7" s="58" t="s">
        <v>12</v>
      </c>
      <c r="AF7" s="72" t="s">
        <v>255</v>
      </c>
      <c r="AG7" s="75" t="s">
        <v>115</v>
      </c>
      <c r="AH7" s="75" t="s">
        <v>256</v>
      </c>
      <c r="AI7" s="56" t="s">
        <v>80</v>
      </c>
      <c r="AJ7" s="14" t="s">
        <v>13</v>
      </c>
      <c r="AK7" s="74" t="s">
        <v>115</v>
      </c>
      <c r="AL7" s="14" t="s">
        <v>8</v>
      </c>
      <c r="AM7" s="74" t="s">
        <v>115</v>
      </c>
      <c r="AN7" s="54" t="s">
        <v>14</v>
      </c>
      <c r="AO7" s="75" t="s">
        <v>115</v>
      </c>
      <c r="AP7" s="59" t="s">
        <v>43</v>
      </c>
      <c r="AQ7" s="55" t="s">
        <v>82</v>
      </c>
      <c r="AR7" s="55" t="s">
        <v>77</v>
      </c>
      <c r="AS7" s="65" t="s">
        <v>76</v>
      </c>
      <c r="AT7" s="67" t="s">
        <v>99</v>
      </c>
      <c r="AU7" s="16" t="s">
        <v>86</v>
      </c>
      <c r="AV7" s="4" t="s">
        <v>84</v>
      </c>
      <c r="AW7" s="4" t="s">
        <v>21</v>
      </c>
      <c r="AX7" s="4" t="s">
        <v>91</v>
      </c>
      <c r="AY7" s="4" t="s">
        <v>92</v>
      </c>
    </row>
    <row r="8" spans="1:51" x14ac:dyDescent="0.25">
      <c r="A8" s="37" t="s">
        <v>64</v>
      </c>
      <c r="B8" s="38"/>
      <c r="C8" s="69" t="s">
        <v>246</v>
      </c>
      <c r="D8" s="39" t="s">
        <v>95</v>
      </c>
      <c r="E8" s="40" t="s">
        <v>97</v>
      </c>
      <c r="F8" s="10" t="str">
        <f>LEFT(_00_Configuration_Articles[[#This Row],[OBU
ArtNum2]], 3) &amp; "-" &amp; RIGHT(_00_Configuration_Articles[[#This Row],[OBU
ArtNum2]], 3)</f>
        <v>009-170</v>
      </c>
      <c r="G8" s="7" t="s">
        <v>65</v>
      </c>
      <c r="H8" s="41" t="s">
        <v>66</v>
      </c>
      <c r="I8" s="17" t="str" cm="1">
        <f t="array" ref="I8">StrToHex(_00_Configuration_Articles[[#This Row],[OBU
ArtNum2]]) &amp; " " &amp; StrToHex(_00_Configuration_Articles[[#This Row],[OBU
Revision]])</f>
        <v>30 30 39 31 37 30 43</v>
      </c>
      <c r="J8" s="42" t="s">
        <v>21</v>
      </c>
      <c r="K8" s="43" t="s">
        <v>110</v>
      </c>
      <c r="L8" s="14" t="s">
        <v>183</v>
      </c>
      <c r="M8" s="19" t="str">
        <f>_00_Configuration_Articles[[#This Row],[OBU
Revision]]</f>
        <v>C</v>
      </c>
      <c r="N8" s="15" t="str">
        <f>_00_Configuration_Articles[[#This Row],[CONF_NUM]] &amp; _00_Configuration_Articles[[#This Row],[CONF_REV]]</f>
        <v>605208C</v>
      </c>
      <c r="O8" s="14" t="s">
        <v>194</v>
      </c>
      <c r="P8" s="19" t="s">
        <v>97</v>
      </c>
      <c r="Q8" s="15" t="str">
        <f>_00_Configuration_Articles[[#This Row],[PARAMS_NUM]] &amp; _00_Configuration_Articles[[#This Row],[PARAMS_REV]]</f>
        <v>605115J</v>
      </c>
      <c r="R8" s="7" t="s">
        <v>205</v>
      </c>
      <c r="S8" s="19" t="str">
        <f>_00_Configuration_Articles[[#This Row],[OBU
Revision]]</f>
        <v>C</v>
      </c>
      <c r="T8" s="20" t="str">
        <f>_00_Configuration_Articles[[#This Row],[PERS_NUM]] &amp; _00_Configuration_Articles[[#This Row],[PERS_REV]]</f>
        <v>605209C</v>
      </c>
      <c r="U8" s="44" t="s">
        <v>109</v>
      </c>
      <c r="V8" s="14" t="s">
        <v>215</v>
      </c>
      <c r="W8" s="19" t="s">
        <v>219</v>
      </c>
      <c r="X8" s="15" t="str">
        <f>_00_Configuration_Articles[[#This Row],[GEO_NUM]] &amp; _00_Configuration_Articles[[#This Row],[GEO_REV]]</f>
        <v>605114D</v>
      </c>
      <c r="Y8" s="7" t="s">
        <v>225</v>
      </c>
      <c r="Z8" s="19" t="s">
        <v>229</v>
      </c>
      <c r="AA8" s="15" t="str">
        <f>_00_Configuration_Articles[[#This Row],[PHRASES_NUM]] &amp; _00_Configuration_Articles[[#This Row],[PHRASES_REV]]</f>
        <v>605056F</v>
      </c>
      <c r="AB8" s="14" t="s">
        <v>237</v>
      </c>
      <c r="AC8" s="19" t="s">
        <v>163</v>
      </c>
      <c r="AD8" s="45" t="str">
        <f>_00_Configuration_Articles[[#This Row],[SAM_NUM]] &amp; _00_Configuration_Articles[[#This Row],[SAM_REV]]</f>
        <v>009090B</v>
      </c>
      <c r="AE8" s="58" t="s">
        <v>67</v>
      </c>
      <c r="AF8" s="72" t="s">
        <v>42</v>
      </c>
      <c r="AG8" s="75" t="s">
        <v>68</v>
      </c>
      <c r="AH8" s="75" t="s">
        <v>83</v>
      </c>
      <c r="AI8" s="56" t="s">
        <v>80</v>
      </c>
      <c r="AJ8" s="14" t="s">
        <v>69</v>
      </c>
      <c r="AK8" s="74" t="s">
        <v>19</v>
      </c>
      <c r="AL8" s="14" t="s">
        <v>70</v>
      </c>
      <c r="AM8" s="74" t="s">
        <v>68</v>
      </c>
      <c r="AN8" s="54" t="s">
        <v>71</v>
      </c>
      <c r="AO8" s="75" t="s">
        <v>19</v>
      </c>
      <c r="AP8" s="59" t="s">
        <v>43</v>
      </c>
      <c r="AS8" s="65" t="s">
        <v>76</v>
      </c>
      <c r="AT8" s="67" t="s">
        <v>85</v>
      </c>
      <c r="AU8" s="16" t="s">
        <v>86</v>
      </c>
      <c r="AV8" s="4" t="s">
        <v>84</v>
      </c>
      <c r="AW8" s="4" t="s">
        <v>21</v>
      </c>
      <c r="AX8" s="4" t="s">
        <v>87</v>
      </c>
      <c r="AY8" s="46" t="s">
        <v>88</v>
      </c>
    </row>
    <row r="9" spans="1:51" ht="15" customHeight="1" x14ac:dyDescent="0.25">
      <c r="A9" s="37" t="s">
        <v>81</v>
      </c>
      <c r="B9" s="38" t="s">
        <v>2</v>
      </c>
      <c r="C9" s="69" t="s">
        <v>247</v>
      </c>
      <c r="D9" s="39" t="s">
        <v>94</v>
      </c>
      <c r="E9" s="40" t="s">
        <v>96</v>
      </c>
      <c r="F9" s="10" t="str">
        <f>LEFT(_00_Configuration_Articles[[#This Row],[OBU
ArtNum2]], 3) &amp; "-" &amp; RIGHT(_00_Configuration_Articles[[#This Row],[OBU
ArtNum2]], 3)</f>
        <v>009-218</v>
      </c>
      <c r="G9" s="7" t="s">
        <v>7</v>
      </c>
      <c r="H9" s="41" t="s">
        <v>66</v>
      </c>
      <c r="I9" s="17" t="str" cm="1">
        <f t="array" ref="I9">StrToHex(_00_Configuration_Articles[[#This Row],[OBU
ArtNum2]]) &amp; " " &amp; StrToHex(_00_Configuration_Articles[[#This Row],[OBU
Revision]])</f>
        <v>30 30 39 32 31 38 43</v>
      </c>
      <c r="J9" s="42">
        <v>1</v>
      </c>
      <c r="K9" s="43" t="s">
        <v>111</v>
      </c>
      <c r="L9" s="14" t="s">
        <v>184</v>
      </c>
      <c r="M9" s="19" t="str">
        <f>_00_Configuration_Articles[[#This Row],[OBU
Revision]]</f>
        <v>C</v>
      </c>
      <c r="N9" s="15" t="str">
        <f>_00_Configuration_Articles[[#This Row],[CONF_NUM]] &amp; _00_Configuration_Articles[[#This Row],[CONF_REV]]</f>
        <v>605263C</v>
      </c>
      <c r="O9" s="14" t="s">
        <v>195</v>
      </c>
      <c r="P9" s="19" t="s">
        <v>163</v>
      </c>
      <c r="Q9" s="15" t="str">
        <f>_00_Configuration_Articles[[#This Row],[PARAMS_NUM]] &amp; _00_Configuration_Articles[[#This Row],[PARAMS_REV]]</f>
        <v>605264B</v>
      </c>
      <c r="R9" s="7" t="s">
        <v>206</v>
      </c>
      <c r="S9" s="19" t="str">
        <f>_00_Configuration_Articles[[#This Row],[OBU
Revision]]</f>
        <v>C</v>
      </c>
      <c r="T9" s="20" t="str">
        <f>_00_Configuration_Articles[[#This Row],[PERS_NUM]] &amp; _00_Configuration_Articles[[#This Row],[PERS_REV]]</f>
        <v>605265C</v>
      </c>
      <c r="U9" s="44" t="s">
        <v>109</v>
      </c>
      <c r="V9" s="14" t="s">
        <v>216</v>
      </c>
      <c r="W9" s="19" t="s">
        <v>163</v>
      </c>
      <c r="X9" s="15" t="str">
        <f>_00_Configuration_Articles[[#This Row],[GEO_NUM]] &amp; _00_Configuration_Articles[[#This Row],[GEO_REV]]</f>
        <v>605266B</v>
      </c>
      <c r="Y9" s="7" t="s">
        <v>226</v>
      </c>
      <c r="Z9" s="19" t="s">
        <v>163</v>
      </c>
      <c r="AA9" s="15" t="str">
        <f>_00_Configuration_Articles[[#This Row],[PHRASES_NUM]] &amp; _00_Configuration_Articles[[#This Row],[PHRASES_REV]]</f>
        <v>605267B</v>
      </c>
      <c r="AB9" s="14" t="s">
        <v>238</v>
      </c>
      <c r="AC9" s="19" t="s">
        <v>118</v>
      </c>
      <c r="AD9" s="45" t="str">
        <f>_00_Configuration_Articles[[#This Row],[SAM_NUM]] &amp; _00_Configuration_Articles[[#This Row],[SAM_REV]]</f>
        <v>009238A</v>
      </c>
      <c r="AE9" s="58" t="s">
        <v>25</v>
      </c>
      <c r="AF9" s="72" t="s">
        <v>89</v>
      </c>
      <c r="AG9" s="75" t="s">
        <v>68</v>
      </c>
      <c r="AH9" s="75" t="s">
        <v>90</v>
      </c>
      <c r="AI9" s="56" t="s">
        <v>80</v>
      </c>
      <c r="AJ9" s="14" t="s">
        <v>26</v>
      </c>
      <c r="AK9" s="74" t="s">
        <v>68</v>
      </c>
      <c r="AL9" s="14" t="s">
        <v>10</v>
      </c>
      <c r="AM9" s="74" t="s">
        <v>68</v>
      </c>
      <c r="AN9" s="54" t="s">
        <v>27</v>
      </c>
      <c r="AO9" s="75" t="s">
        <v>68</v>
      </c>
      <c r="AP9" s="59" t="s">
        <v>43</v>
      </c>
      <c r="AQ9" s="55" t="s">
        <v>82</v>
      </c>
      <c r="AR9" s="55" t="s">
        <v>51</v>
      </c>
      <c r="AS9" s="65" t="s">
        <v>76</v>
      </c>
      <c r="AT9" s="67" t="s">
        <v>74</v>
      </c>
      <c r="AU9" s="16" t="s">
        <v>73</v>
      </c>
      <c r="AV9" s="47" t="s">
        <v>72</v>
      </c>
      <c r="AW9" s="4" t="s">
        <v>21</v>
      </c>
      <c r="AX9" s="4" t="s">
        <v>62</v>
      </c>
      <c r="AY9" s="46" t="s">
        <v>63</v>
      </c>
    </row>
    <row r="10" spans="1:51" ht="15" customHeight="1" x14ac:dyDescent="0.25">
      <c r="A10" s="37" t="s">
        <v>116</v>
      </c>
      <c r="B10" s="38" t="s">
        <v>2</v>
      </c>
      <c r="C10" s="69" t="s">
        <v>248</v>
      </c>
      <c r="D10" s="39" t="s">
        <v>113</v>
      </c>
      <c r="E10" s="40" t="s">
        <v>114</v>
      </c>
      <c r="F10" s="10" t="str">
        <f>LEFT(_00_Configuration_Articles[[#This Row],[OBU
ArtNum2]], 3) &amp; "-" &amp; RIGHT(_00_Configuration_Articles[[#This Row],[OBU
ArtNum2]], 3)</f>
        <v>009-261</v>
      </c>
      <c r="G10" s="7" t="s">
        <v>117</v>
      </c>
      <c r="H10" s="41" t="s">
        <v>118</v>
      </c>
      <c r="I10" s="17" t="str" cm="1">
        <f t="array" ref="I10">StrToHex(_00_Configuration_Articles[[#This Row],[OBU
ArtNum2]]) &amp; " " &amp; StrToHex(_00_Configuration_Articles[[#This Row],[OBU
Revision]])</f>
        <v>30 30 39 32 36 31 41</v>
      </c>
      <c r="J10" s="42" t="s">
        <v>21</v>
      </c>
      <c r="K10" s="43" t="s">
        <v>112</v>
      </c>
      <c r="L10" s="14" t="s">
        <v>185</v>
      </c>
      <c r="M10" s="19" t="str">
        <f>_00_Configuration_Articles[[#This Row],[OBU
Revision]]</f>
        <v>A</v>
      </c>
      <c r="N10" s="15" t="str">
        <f>_00_Configuration_Articles[[#This Row],[CONF_NUM]] &amp; _00_Configuration_Articles[[#This Row],[CONF_REV]]</f>
        <v>605306A</v>
      </c>
      <c r="O10" s="14" t="s">
        <v>196</v>
      </c>
      <c r="P10" s="19" t="s">
        <v>118</v>
      </c>
      <c r="Q10" s="15" t="str">
        <f>_00_Configuration_Articles[[#This Row],[PARAMS_NUM]] &amp; _00_Configuration_Articles[[#This Row],[PARAMS_REV]]</f>
        <v>605307A</v>
      </c>
      <c r="R10" s="7" t="s">
        <v>207</v>
      </c>
      <c r="S10" s="19" t="str">
        <f>_00_Configuration_Articles[[#This Row],[OBU
Revision]]</f>
        <v>A</v>
      </c>
      <c r="T10" s="20" t="str">
        <f>_00_Configuration_Articles[[#This Row],[PERS_NUM]] &amp; _00_Configuration_Articles[[#This Row],[PERS_REV]]</f>
        <v>605308A</v>
      </c>
      <c r="U10" s="44" t="s">
        <v>109</v>
      </c>
      <c r="V10" s="14" t="s">
        <v>217</v>
      </c>
      <c r="W10" s="19" t="s">
        <v>118</v>
      </c>
      <c r="X10" s="15" t="str">
        <f>_00_Configuration_Articles[[#This Row],[GEO_NUM]] &amp; _00_Configuration_Articles[[#This Row],[GEO_REV]]</f>
        <v>605309A</v>
      </c>
      <c r="Y10" s="7" t="s">
        <v>227</v>
      </c>
      <c r="Z10" s="19" t="s">
        <v>118</v>
      </c>
      <c r="AA10" s="15" t="str">
        <f>_00_Configuration_Articles[[#This Row],[PHRASES_NUM]] &amp; _00_Configuration_Articles[[#This Row],[PHRASES_REV]]</f>
        <v>605310A</v>
      </c>
      <c r="AB10" s="14" t="s">
        <v>238</v>
      </c>
      <c r="AC10" s="19" t="s">
        <v>118</v>
      </c>
      <c r="AD10" s="45" t="str">
        <f>_00_Configuration_Articles[[#This Row],[SAM_NUM]] &amp; _00_Configuration_Articles[[#This Row],[SAM_REV]]</f>
        <v>009238A</v>
      </c>
      <c r="AE10" s="58" t="s">
        <v>119</v>
      </c>
      <c r="AF10" s="72" t="s">
        <v>120</v>
      </c>
      <c r="AG10" s="75" t="s">
        <v>121</v>
      </c>
      <c r="AH10" s="75" t="s">
        <v>122</v>
      </c>
      <c r="AI10" s="56" t="s">
        <v>80</v>
      </c>
      <c r="AJ10" s="14" t="s">
        <v>123</v>
      </c>
      <c r="AL10" s="14" t="s">
        <v>124</v>
      </c>
      <c r="AM10" s="74" t="s">
        <v>121</v>
      </c>
      <c r="AP10" s="59" t="s">
        <v>43</v>
      </c>
      <c r="AQ10" s="55" t="s">
        <v>82</v>
      </c>
      <c r="AR10" s="55" t="s">
        <v>51</v>
      </c>
      <c r="AS10" s="65" t="s">
        <v>125</v>
      </c>
      <c r="AT10" s="67" t="s">
        <v>74</v>
      </c>
      <c r="AU10" s="16" t="s">
        <v>59</v>
      </c>
      <c r="AV10" s="47" t="s">
        <v>60</v>
      </c>
      <c r="AW10" s="4" t="s">
        <v>61</v>
      </c>
      <c r="AX10" s="4" t="s">
        <v>62</v>
      </c>
      <c r="AY10" s="46" t="s">
        <v>63</v>
      </c>
    </row>
    <row r="11" spans="1:51" ht="15" customHeight="1" x14ac:dyDescent="0.25">
      <c r="A11" s="37" t="s">
        <v>16</v>
      </c>
      <c r="B11" s="38" t="s">
        <v>17</v>
      </c>
      <c r="C11" s="69" t="s">
        <v>249</v>
      </c>
      <c r="D11" s="39" t="s">
        <v>250</v>
      </c>
      <c r="E11" s="40" t="s">
        <v>252</v>
      </c>
      <c r="F11" s="10" t="str">
        <f>LEFT(_00_Configuration_Articles[[#This Row],[OBU
ArtNum2]], 3) &amp; "-" &amp; RIGHT(_00_Configuration_Articles[[#This Row],[OBU
ArtNum2]], 3)</f>
        <v>009-130</v>
      </c>
      <c r="G11" s="7" t="s">
        <v>20</v>
      </c>
      <c r="H11" s="41" t="s">
        <v>166</v>
      </c>
      <c r="I11" s="17" t="str" cm="1">
        <f t="array" ref="I11">StrToHex(_00_Configuration_Articles[[#This Row],[OBU
ArtNum2]]) &amp; " " &amp; StrToHex(_00_Configuration_Articles[[#This Row],[OBU
Revision]])</f>
        <v>30 30 39 31 33 30 49</v>
      </c>
      <c r="J11" s="42" t="s">
        <v>21</v>
      </c>
      <c r="K11" s="43" t="s">
        <v>112</v>
      </c>
      <c r="L11" s="14" t="s">
        <v>186</v>
      </c>
      <c r="M11" s="19" t="str">
        <f>_00_Configuration_Articles[[#This Row],[OBU
Revision]]</f>
        <v>I</v>
      </c>
      <c r="N11" s="15" t="str">
        <f>_00_Configuration_Articles[[#This Row],[CONF_NUM]] &amp; _00_Configuration_Articles[[#This Row],[CONF_REV]]</f>
        <v>605174I</v>
      </c>
      <c r="O11" s="14" t="s">
        <v>197</v>
      </c>
      <c r="P11" s="19" t="s">
        <v>166</v>
      </c>
      <c r="Q11" s="15" t="str">
        <f>_00_Configuration_Articles[[#This Row],[PARAMS_NUM]] &amp; _00_Configuration_Articles[[#This Row],[PARAMS_REV]]</f>
        <v>605175I</v>
      </c>
      <c r="R11" s="7" t="s">
        <v>208</v>
      </c>
      <c r="S11" s="19" t="str">
        <f>_00_Configuration_Articles[[#This Row],[OBU
Revision]]</f>
        <v>I</v>
      </c>
      <c r="T11" s="20" t="str">
        <f>_00_Configuration_Articles[[#This Row],[PERS_NUM]] &amp; _00_Configuration_Articles[[#This Row],[PERS_REV]]</f>
        <v>605176I</v>
      </c>
      <c r="U11" s="44" t="s">
        <v>109</v>
      </c>
      <c r="V11" s="14" t="s">
        <v>218</v>
      </c>
      <c r="W11" s="19" t="s">
        <v>219</v>
      </c>
      <c r="X11" s="15" t="str">
        <f>_00_Configuration_Articles[[#This Row],[GEO_NUM]] &amp; _00_Configuration_Articles[[#This Row],[GEO_REV]]</f>
        <v>605177D</v>
      </c>
      <c r="Y11" s="7" t="s">
        <v>228</v>
      </c>
      <c r="Z11" s="19" t="s">
        <v>164</v>
      </c>
      <c r="AA11" s="15" t="str">
        <f>_00_Configuration_Articles[[#This Row],[PHRASES_NUM]] &amp; _00_Configuration_Articles[[#This Row],[PHRASES_REV]]</f>
        <v>605173E</v>
      </c>
      <c r="AB11" s="14" t="s">
        <v>236</v>
      </c>
      <c r="AC11" s="19" t="s">
        <v>118</v>
      </c>
      <c r="AD11" s="45" t="str">
        <f>_00_Configuration_Articles[[#This Row],[SAM_NUM]] &amp; _00_Configuration_Articles[[#This Row],[SAM_REV]]</f>
        <v>009143A</v>
      </c>
      <c r="AE11" s="58" t="s">
        <v>18</v>
      </c>
      <c r="AF11" s="72" t="s">
        <v>167</v>
      </c>
      <c r="AG11" s="75" t="s">
        <v>168</v>
      </c>
      <c r="AH11" s="75" t="s">
        <v>257</v>
      </c>
      <c r="AI11" s="56" t="s">
        <v>80</v>
      </c>
      <c r="AJ11" s="14" t="s">
        <v>28</v>
      </c>
      <c r="AK11" s="74" t="s">
        <v>169</v>
      </c>
      <c r="AL11" s="14" t="s">
        <v>29</v>
      </c>
      <c r="AM11" s="74" t="s">
        <v>170</v>
      </c>
      <c r="AN11" s="54" t="s">
        <v>30</v>
      </c>
      <c r="AO11" s="75" t="s">
        <v>115</v>
      </c>
      <c r="AP11" s="59" t="s">
        <v>43</v>
      </c>
      <c r="AR11" s="55" t="s">
        <v>44</v>
      </c>
      <c r="AS11" s="65" t="s">
        <v>76</v>
      </c>
      <c r="AT11" s="67" t="s">
        <v>58</v>
      </c>
      <c r="AU11" s="16" t="s">
        <v>73</v>
      </c>
      <c r="AV11" s="47" t="s">
        <v>72</v>
      </c>
      <c r="AW11" s="4" t="s">
        <v>21</v>
      </c>
      <c r="AX11" s="4" t="s">
        <v>62</v>
      </c>
      <c r="AY11" s="46" t="s">
        <v>63</v>
      </c>
    </row>
    <row r="12" spans="1:51" x14ac:dyDescent="0.25">
      <c r="AT12" s="67"/>
    </row>
    <row r="13" spans="1:51" x14ac:dyDescent="0.25">
      <c r="AT13" s="67"/>
    </row>
    <row r="14" spans="1:51" x14ac:dyDescent="0.25">
      <c r="AT14" s="67"/>
    </row>
    <row r="15" spans="1:51" x14ac:dyDescent="0.25">
      <c r="AT15" s="67"/>
    </row>
    <row r="16" spans="1:51" x14ac:dyDescent="0.25">
      <c r="AT16" s="67"/>
    </row>
    <row r="17" spans="46:46" x14ac:dyDescent="0.25">
      <c r="AT17" s="67"/>
    </row>
    <row r="18" spans="46:46" x14ac:dyDescent="0.25">
      <c r="AT18" s="67"/>
    </row>
    <row r="19" spans="46:46" x14ac:dyDescent="0.25">
      <c r="AT19" s="67"/>
    </row>
    <row r="20" spans="46:46" x14ac:dyDescent="0.25">
      <c r="AT20" s="67"/>
    </row>
    <row r="21" spans="46:46" x14ac:dyDescent="0.25">
      <c r="AT21" s="67"/>
    </row>
    <row r="22" spans="46:46" x14ac:dyDescent="0.25">
      <c r="AT22" s="67"/>
    </row>
    <row r="23" spans="46:46" x14ac:dyDescent="0.25">
      <c r="AT23" s="67"/>
    </row>
    <row r="24" spans="46:46" x14ac:dyDescent="0.25">
      <c r="AT24" s="67"/>
    </row>
    <row r="25" spans="46:46" x14ac:dyDescent="0.25">
      <c r="AT25" s="67"/>
    </row>
    <row r="26" spans="46:46" x14ac:dyDescent="0.25">
      <c r="AT26" s="67"/>
    </row>
    <row r="27" spans="46:46" x14ac:dyDescent="0.25">
      <c r="AT27" s="67"/>
    </row>
    <row r="28" spans="46:46" x14ac:dyDescent="0.25">
      <c r="AT28" s="67"/>
    </row>
    <row r="29" spans="46:46" x14ac:dyDescent="0.25">
      <c r="AT29" s="67"/>
    </row>
    <row r="30" spans="46:46" x14ac:dyDescent="0.25">
      <c r="AT30" s="67"/>
    </row>
    <row r="31" spans="46:46" x14ac:dyDescent="0.25">
      <c r="AT31" s="67"/>
    </row>
    <row r="32" spans="46:46" x14ac:dyDescent="0.25">
      <c r="AT32" s="67"/>
    </row>
    <row r="33" spans="1:46" x14ac:dyDescent="0.25">
      <c r="AT33" s="67"/>
    </row>
    <row r="34" spans="1:46" x14ac:dyDescent="0.25">
      <c r="AT34" s="67"/>
    </row>
    <row r="35" spans="1:46" x14ac:dyDescent="0.25">
      <c r="AT35" s="67"/>
    </row>
    <row r="36" spans="1:46" x14ac:dyDescent="0.25">
      <c r="AT36" s="67"/>
    </row>
    <row r="37" spans="1:46" x14ac:dyDescent="0.25">
      <c r="AT37" s="67"/>
    </row>
    <row r="38" spans="1:46" x14ac:dyDescent="0.25">
      <c r="AT38" s="67"/>
    </row>
    <row r="43" spans="1:46" x14ac:dyDescent="0.25">
      <c r="A43" s="52" t="s">
        <v>209</v>
      </c>
    </row>
    <row r="44" spans="1:46" x14ac:dyDescent="0.25">
      <c r="A44" s="53" t="s">
        <v>210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J10:J11 AO2 AK2 AF2:AG2 G11 J8 AM2 AK8:AK9 AM8:AM10 AO8:AO9 AF8:AG9 AI11:AJ11 AF7 AW6:AW11 G7:G10 AF10:AG10 G2:G4 AW2 AG4 AW4 AW3 AW5 AE5 AL5 AG3:AJ3 G5:G6 AG6:AG7 AJ4 AJ6:AM6 AL3:AM3 AK4:AM4 AF11:AG11 AK11:AL11 AM11:AO11 L2 L3:L11 O2:O12 R2:R11 V2:V11 Y2:Y11 AB2:AB11 AK3 AK5 AI7:AJ7 AN7:AO7 AL7 AK7 AM7" numberStoredAsText="1"/>
  </ignoredErrors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OBU-5310</vt:lpstr>
      <vt:lpstr>_01_OBU_Configuration</vt:lpstr>
      <vt:lpstr>_02_Documents</vt:lpstr>
      <vt:lpstr>_03_Responsibles</vt:lpstr>
      <vt:lpstr>_04_Cellular_Parameters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Lajtai Levente</dc:creator>
  <cp:lastModifiedBy>Levente Lajtai</cp:lastModifiedBy>
  <dcterms:created xsi:type="dcterms:W3CDTF">2024-04-10T11:58:18Z</dcterms:created>
  <dcterms:modified xsi:type="dcterms:W3CDTF">2025-07-02T08:32:54Z</dcterms:modified>
</cp:coreProperties>
</file>